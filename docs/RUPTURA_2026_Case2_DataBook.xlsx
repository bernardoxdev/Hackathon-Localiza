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1c03c026014462" /></Relationships>
</file>

<file path=xl/workbook.xml><?xml version="1.0" encoding="utf-8"?>
<x:workbook xmlns:x="http://schemas.openxmlformats.org/spreadsheetml/2006/main">
  <x:sheets>
    <x:sheet xmlns:r="http://schemas.openxmlformats.org/officeDocument/2006/relationships" name="Resumo" sheetId="1" r:id="R9e5535d1dd514c7f"/>
    <x:sheet xmlns:r="http://schemas.openxmlformats.org/officeDocument/2006/relationships" name="Dados_Quantitativos" sheetId="2" r:id="R0e788935e824403e"/>
    <x:sheet xmlns:r="http://schemas.openxmlformats.org/officeDocument/2006/relationships" name="Produto_Atual" sheetId="3" r:id="R8cd30655f2a2449c"/>
    <x:sheet xmlns:r="http://schemas.openxmlformats.org/officeDocument/2006/relationships" name="Dores_Insights" sheetId="4" r:id="R46ba0d83c7bf4e8d"/>
    <x:sheet xmlns:r="http://schemas.openxmlformats.org/officeDocument/2006/relationships" name="Ideias" sheetId="5" r:id="R174758334d4e4575"/>
    <x:sheet xmlns:r="http://schemas.openxmlformats.org/officeDocument/2006/relationships" name="Metricas" sheetId="6" r:id="R619b955724b74759"/>
    <x:sheet xmlns:r="http://schemas.openxmlformats.org/officeDocument/2006/relationships" name="Criterios_Ruptura" sheetId="7" r:id="R92bb0140f26a4f0b"/>
    <x:sheet xmlns:r="http://schemas.openxmlformats.org/officeDocument/2006/relationships" name="Fontes" sheetId="8" r:id="R92cf0f8c0cb143c6"/>
    <x:sheet xmlns:r="http://schemas.openxmlformats.org/officeDocument/2006/relationships" name="Prompt_Case2" sheetId="9" r:id="R56a731a34771448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
    <x:numFmt numFmtId="202" formatCode="R$ #,##0"/>
  </x:numFmts>
  <x:fonts count="4">
    <x:font>
      <x:sz val="11"/>
      <x:name val="Carlito"/>
    </x:font>
    <x:font>
      <x:b/>
      <x:sz val="16"/>
      <x:color rgb="FFFFFFFF"/>
      <x:name val="Carlito"/>
    </x:font>
    <x:font>
      <x:b/>
      <x:sz val="11"/>
      <x:color rgb="FF16322A"/>
      <x:name val="Carlito"/>
    </x:font>
    <x:font>
      <x:b/>
      <x:sz val="11"/>
      <x:color rgb="FFFFFFFF"/>
      <x:name val="Carlito"/>
    </x:font>
  </x:fonts>
  <x:fills count="6">
    <x:fill>
      <x:patternFill patternType="none"/>
    </x:fill>
    <x:fill>
      <x:patternFill patternType="gray125"/>
    </x:fill>
    <x:fill>
      <x:patternFill patternType="solid">
        <x:fgColor rgb="FF0B6B3A"/>
      </x:patternFill>
    </x:fill>
    <x:fill>
      <x:patternFill patternType="solid">
        <x:fgColor rgb="FFEAF4EE"/>
      </x:patternFill>
    </x:fill>
    <x:fill>
      <x:patternFill patternType="solid">
        <x:fgColor rgb="FF16322A"/>
      </x:patternFill>
    </x:fill>
    <x:fill>
      <x:patternFill patternType="solid">
        <x:fgColor rgb="FFFFF3E5"/>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c5bb98f17543ce" /><Relationship Type="http://schemas.openxmlformats.org/officeDocument/2006/relationships/theme" Target="/xl/theme/theme1.xml" Id="Rac7797c0f721487c" /><Relationship Type="http://schemas.openxmlformats.org/officeDocument/2006/relationships/sharedStrings" Target="/xl/sharedStrings.xml" Id="R8581a2f6fbc541ec" /><Relationship Type="http://schemas.openxmlformats.org/officeDocument/2006/relationships/worksheet" Target="/xl/worksheets/sheet1.xml" Id="R9e5535d1dd514c7f" /><Relationship Type="http://schemas.openxmlformats.org/officeDocument/2006/relationships/worksheet" Target="/xl/worksheets/sheet2.xml" Id="R0e788935e824403e" /><Relationship Type="http://schemas.openxmlformats.org/officeDocument/2006/relationships/worksheet" Target="/xl/worksheets/sheet3.xml" Id="R8cd30655f2a2449c" /><Relationship Type="http://schemas.openxmlformats.org/officeDocument/2006/relationships/worksheet" Target="/xl/worksheets/sheet4.xml" Id="R46ba0d83c7bf4e8d" /><Relationship Type="http://schemas.openxmlformats.org/officeDocument/2006/relationships/worksheet" Target="/xl/worksheets/sheet5.xml" Id="R174758334d4e4575" /><Relationship Type="http://schemas.openxmlformats.org/officeDocument/2006/relationships/worksheet" Target="/xl/worksheets/sheet6.xml" Id="R619b955724b74759" /><Relationship Type="http://schemas.openxmlformats.org/officeDocument/2006/relationships/worksheet" Target="/xl/worksheets/sheet7.xml" Id="R92bb0140f26a4f0b" /><Relationship Type="http://schemas.openxmlformats.org/officeDocument/2006/relationships/worksheet" Target="/xl/worksheets/sheet8.xml" Id="R92cf0f8c0cb143c6" /><Relationship Type="http://schemas.openxmlformats.org/officeDocument/2006/relationships/worksheet" Target="/xl/worksheets/sheet9.xml" Id="R56a731a34771448d" /></Relationships>
</file>

<file path=xl/tables/table1.xml><?xml version="1.0" encoding="utf-8"?>
<x:table xmlns:x="http://schemas.openxmlformats.org/spreadsheetml/2006/main" id="1" name="Case2QuantTable" displayName="Case2QuantTable" ref="A3:J33" headerRowCount="1" totalsRowCount="0" totalsRowShown="0">
  <x:tableColumns count="10">
    <x:tableColumn id="1" name="ID"/>
    <x:tableColumn id="2" name="Indicador"/>
    <x:tableColumn id="3" name="Valor"/>
    <x:tableColumn id="4" name="Unidade"/>
    <x:tableColumn id="5" name="Tipo"/>
    <x:tableColumn id="6" name="Período/Base"/>
    <x:tableColumn id="7" name="População/Base"/>
    <x:tableColumn id="8" name="Observação"/>
    <x:tableColumn id="9" name="Fonte"/>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ba8b12997b4d20" /></Relationships>
</file>

<file path=xl/worksheets/sheet1.xml><?xml version="1.0" encoding="utf-8"?>
<x:worksheet xmlns:x="http://schemas.openxmlformats.org/spreadsheetml/2006/main">
  <x:sheetFormatPr defaultRowHeight="15"/>
  <x:cols>
    <x:col min="1" max="1" width="24" hidden="0" customWidth="1"/>
    <x:col min="2" max="2" width="30" hidden="0" customWidth="1"/>
    <x:col min="3" max="3" width="18" hidden="0" customWidth="1"/>
    <x:col min="4" max="4" width="18" hidden="0" customWidth="1"/>
    <x:col min="5" max="5" width="34" hidden="0" customWidth="1"/>
    <x:col min="6" max="6" width="34" hidden="0" customWidth="1"/>
    <x:col min="7" max="7" width="32" hidden="0" customWidth="1"/>
    <x:col min="8" max="8" width="16" hidden="0" customWidth="1"/>
  </x:cols>
  <x:sheetData>
    <x:row r="1" ht="28" customHeight="1">
      <x:c r="A1" s="5" t="str">
        <x:v>RUPTURA 2026 — Case 2 | Data Book e Diagnóstico</x:v>
      </x:c>
    </x:row>
    <x:row r="3">
      <x:c r="A3" s="46" t="str">
        <x:v>Desafio</x:v>
      </x:c>
      <x:c r="B3" s="17" t="str">
        <x:v>Do atendimento ao hábito</x:v>
      </x:c>
      <x:c r="C3" s="17" t="str"/>
      <x:c r="D3" s="17" t="str"/>
      <x:c r="E3" s="17" t="str"/>
      <x:c r="F3" s="17" t="str"/>
      <x:c r="G3" s="17" t="str"/>
      <x:c r="H3" s="17" t="str"/>
    </x:row>
    <x:row r="4">
      <x:c r="A4" s="46" t="str">
        <x:v>Pergunta do case</x:v>
      </x:c>
      <x:c r="B4" s="17" t="str">
        <x:v>Como transformar o app do Localiza Assinatura em um companheiro de mobilidade, e não apenas um canal de atendimento?</x:v>
      </x:c>
      <x:c r="C4" s="17" t="str"/>
      <x:c r="D4" s="17" t="str"/>
      <x:c r="E4" s="17" t="str"/>
      <x:c r="F4" s="17" t="str"/>
      <x:c r="G4" s="17" t="str"/>
      <x:c r="H4" s="17" t="str"/>
    </x:row>
    <x:row r="5">
      <x:c r="A5" s="46" t="str">
        <x:v>Objetivo</x:v>
      </x:c>
      <x:c r="B5" s="17" t="str">
        <x:v>Ampliar a relevância do app na rotina dos clientes por meio de valor adicional na jornada de mobilidade, fortalecendo relação com a marca e impacto para cliente e negócio.</x:v>
      </x:c>
      <x:c r="C5" s="17" t="str"/>
      <x:c r="D5" s="17" t="str"/>
      <x:c r="E5" s="17" t="str"/>
      <x:c r="F5" s="17" t="str"/>
      <x:c r="G5" s="17" t="str"/>
      <x:c r="H5" s="17" t="str"/>
    </x:row>
    <x:row r="6">
      <x:c r="A6" s="46" t="str">
        <x:v>Jornada atual</x:v>
      </x:c>
      <x:c r="B6" s="17" t="str">
        <x:v>Necessidade → abre app → resolve → fecha → só retorna com nova necessidade</x:v>
      </x:c>
      <x:c r="C6" s="17" t="str"/>
      <x:c r="D6" s="17" t="str"/>
      <x:c r="E6" s="17" t="str"/>
      <x:c r="F6" s="17" t="str"/>
      <x:c r="G6" s="17" t="str"/>
      <x:c r="H6" s="17" t="str"/>
    </x:row>
    <x:row r="7">
      <x:c r="A7" s="46" t="str">
        <x:v>Jornada desejada</x:v>
      </x:c>
      <x:c r="B7" s="17" t="str">
        <x:v>Rotina → contexto → necessidade → app antecipa → ação → valor → confiança → hábito</x:v>
      </x:c>
      <x:c r="C7" s="17" t="str"/>
      <x:c r="D7" s="17" t="str"/>
      <x:c r="E7" s="17" t="str"/>
      <x:c r="F7" s="17" t="str"/>
      <x:c r="G7" s="17" t="str"/>
      <x:c r="H7" s="17" t="str"/>
    </x:row>
    <x:row r="8">
      <x:c r="A8" s="46" t="str">
        <x:v>Tese central</x:v>
      </x:c>
      <x:c r="B8" s="17" t="str">
        <x:v>A oportunidade não é maximizar aberturas; é transformar informações e serviços do ecossistema Localiza em valor contextual no momento certo.</x:v>
      </x:c>
      <x:c r="C8" s="17" t="str"/>
      <x:c r="D8" s="17" t="str"/>
      <x:c r="E8" s="17" t="str"/>
      <x:c r="F8" s="17" t="str"/>
      <x:c r="G8" s="17" t="str"/>
      <x:c r="H8" s="17" t="str"/>
    </x:row>
    <x:row r="9">
      <x:c r="A9" s="16"/>
      <x:c r="B9" s="16"/>
      <x:c r="C9" s="16"/>
      <x:c r="D9" s="16"/>
      <x:c r="E9" s="16"/>
      <x:c r="F9" s="16"/>
      <x:c r="G9" s="16"/>
      <x:c r="H9" s="16"/>
    </x:row>
    <x:row r="10">
      <x:c r="A10" s="24" t="str">
        <x:v>Métrica</x:v>
      </x:c>
      <x:c r="B10" s="24" t="str">
        <x:v>Valor</x:v>
      </x:c>
      <x:c r="C10" s="24" t="str">
        <x:v>Tipo</x:v>
      </x:c>
      <x:c r="D10" s="24" t="str">
        <x:v>Período/Base</x:v>
      </x:c>
      <x:c r="E10" s="24" t="str">
        <x:v>Interpretação</x:v>
      </x:c>
      <x:c r="F10" s="24" t="str">
        <x:v>Uso no hackathon</x:v>
      </x:c>
      <x:c r="G10" s="24" t="str">
        <x:v>Fonte</x:v>
      </x:c>
      <x:c r="H10" s="24" t="str">
        <x:v>Confiança</x:v>
      </x:c>
    </x:row>
    <x:row r="11">
      <x:c r="A11" s="17" t="str">
        <x:v>Clientes Localiza Assinatura</x:v>
      </x:c>
      <x:c r="B11" s="32" t="n">
        <x:v>70000</x:v>
      </x:c>
      <x:c r="C11" s="17" t="str">
        <x:v>Dado do case</x:v>
      </x:c>
      <x:c r="D11" s="17" t="str">
        <x:v>2026</x:v>
      </x:c>
      <x:c r="E11" s="17" t="str">
        <x:v>Base do produto</x:v>
      </x:c>
      <x:c r="F11" s="17" t="str">
        <x:v>Dimensionar impacto potencial</x:v>
      </x:c>
      <x:c r="G11" s="17" t="str">
        <x:v>Case 2 / dossiê §4.1</x:v>
      </x:c>
      <x:c r="H11" s="17" t="str">
        <x:v>Alta</x:v>
      </x:c>
    </x:row>
    <x:row r="12">
      <x:c r="A12" s="17" t="str">
        <x:v>Clientes que acessam no mês</x:v>
      </x:c>
      <x:c r="B12" s="30" t="n">
        <x:v>0.801</x:v>
      </x:c>
      <x:c r="C12" s="17" t="str">
        <x:v>Dado do case</x:v>
      </x:c>
      <x:c r="D12" s="17" t="str">
        <x:v>2026</x:v>
      </x:c>
      <x:c r="E12" s="17" t="str">
        <x:v>Alta adesão mensal</x:v>
      </x:c>
      <x:c r="F12" s="17" t="str">
        <x:v>Mostrar que o problema não é falta de uso absoluto</x:v>
      </x:c>
      <x:c r="G12" s="17" t="str">
        <x:v>Case 2 PDF, slide de dados</x:v>
      </x:c>
      <x:c r="H12" s="17" t="str">
        <x:v>Alta</x:v>
      </x:c>
    </x:row>
    <x:row r="13">
      <x:c r="A13" s="17" t="str">
        <x:v>MAU</x:v>
      </x:c>
      <x:c r="B13" s="32" t="n">
        <x:v>53000</x:v>
      </x:c>
      <x:c r="C13" s="17" t="str">
        <x:v>Dado do case</x:v>
      </x:c>
      <x:c r="D13" s="17" t="str">
        <x:v>2026</x:v>
      </x:c>
      <x:c r="E13" s="17" t="str">
        <x:v>Uso mensal ativo</x:v>
      </x:c>
      <x:c r="F13" s="17" t="str">
        <x:v>Base para métricas de engajamento</x:v>
      </x:c>
      <x:c r="G13" s="17" t="str">
        <x:v>Case 2 PDF / dossiê</x:v>
      </x:c>
      <x:c r="H13" s="17" t="str">
        <x:v>Alta</x:v>
      </x:c>
    </x:row>
    <x:row r="14">
      <x:c r="A14" s="17" t="str">
        <x:v>WAU</x:v>
      </x:c>
      <x:c r="B14" s="32" t="n">
        <x:v>31000</x:v>
      </x:c>
      <x:c r="C14" s="17" t="str">
        <x:v>Dado do case</x:v>
      </x:c>
      <x:c r="D14" s="17" t="str">
        <x:v>2026</x:v>
      </x:c>
      <x:c r="E14" s="17" t="str">
        <x:v>Uso semanal ativo</x:v>
      </x:c>
      <x:c r="F14" s="17" t="str">
        <x:v>Base para recorrência</x:v>
      </x:c>
      <x:c r="G14" s="17" t="str">
        <x:v>Case 2 PDF / dossiê</x:v>
      </x:c>
      <x:c r="H14" s="17" t="str">
        <x:v>Alta</x:v>
      </x:c>
    </x:row>
    <x:row r="15">
      <x:c r="A15" s="17" t="str">
        <x:v>Acesso nos últimos 3 meses</x:v>
      </x:c>
      <x:c r="B15" s="30" t="n">
        <x:v>0.955</x:v>
      </x:c>
      <x:c r="C15" s="17" t="str">
        <x:v>Dado do case</x:v>
      </x:c>
      <x:c r="D15" s="17" t="str">
        <x:v>2026</x:v>
      </x:c>
      <x:c r="E15" s="17" t="str">
        <x:v>Penetração recente</x:v>
      </x:c>
      <x:c r="F15" s="17" t="str">
        <x:v>Mostrar alcance do produto</x:v>
      </x:c>
      <x:c r="G15" s="17" t="str">
        <x:v>Case 2 PDF, slide de dados</x:v>
      </x:c>
      <x:c r="H15" s="17" t="str">
        <x:v>Alta</x:v>
      </x:c>
    </x:row>
    <x:row r="16">
      <x:c r="A16" s="17" t="str">
        <x:v>Acesso nos últimos 6 meses</x:v>
      </x:c>
      <x:c r="B16" s="30" t="n">
        <x:v>0.99</x:v>
      </x:c>
      <x:c r="C16" s="17" t="str">
        <x:v>Dado do case</x:v>
      </x:c>
      <x:c r="D16" s="17" t="str">
        <x:v>2026</x:v>
      </x:c>
      <x:c r="E16" s="17" t="str">
        <x:v>Penetração acumulada</x:v>
      </x:c>
      <x:c r="F16" s="17" t="str">
        <x:v>Mostrar que a base já conhece o app</x:v>
      </x:c>
      <x:c r="G16" s="17" t="str">
        <x:v>Case 2 PDF, slide de dados</x:v>
      </x:c>
      <x:c r="H16" s="17" t="str">
        <x:v>Alta</x:v>
      </x:c>
    </x:row>
    <x:row r="17">
      <x:c r="A17" s="17" t="str">
        <x:v>App NPS</x:v>
      </x:c>
      <x:c r="B17" s="32" t="n">
        <x:v>84</x:v>
      </x:c>
      <x:c r="C17" s="17" t="str">
        <x:v>Dado do case</x:v>
      </x:c>
      <x:c r="D17" s="17" t="str">
        <x:v>2026</x:v>
      </x:c>
      <x:c r="E17" s="17" t="str">
        <x:v>App é bem avaliado</x:v>
      </x:c>
      <x:c r="F17" s="17" t="str">
        <x:v>Evitar framing de 'app ruim'</x:v>
      </x:c>
      <x:c r="G17" s="17" t="str">
        <x:v>Case 2 PDF / dossiê</x:v>
      </x:c>
      <x:c r="H17" s="17" t="str">
        <x:v>Alta</x:v>
      </x:c>
    </x:row>
    <x:row r="18">
      <x:c r="A18" s="17" t="str">
        <x:v>NPS relacional da assinatura</x:v>
      </x:c>
      <x:c r="B18" s="32" t="n">
        <x:v>45</x:v>
      </x:c>
      <x:c r="C18" s="17" t="str">
        <x:v>Dado do case</x:v>
      </x:c>
      <x:c r="D18" s="17" t="str">
        <x:v>2026</x:v>
      </x:c>
      <x:c r="E18" s="17" t="str">
        <x:v>Há gap entre app e relação com produto</x:v>
      </x:c>
      <x:c r="F18" s="17" t="str">
        <x:v>Definir oportunidade estratégica</x:v>
      </x:c>
      <x:c r="G18" s="17" t="str">
        <x:v>Case 2 PDF / dossiê</x:v>
      </x:c>
      <x:c r="H18" s="17" t="str">
        <x:v>Alta</x:v>
      </x:c>
    </x:row>
    <x:row r="19">
      <x:c r="A19" s="17" t="str">
        <x:v>Contatos mensais</x:v>
      </x:c>
      <x:c r="B19" s="32" t="str">
        <x:v>&gt;80.000</x:v>
      </x:c>
      <x:c r="C19" s="17" t="str">
        <x:v>Dado do case</x:v>
      </x:c>
      <x:c r="D19" s="17" t="str">
        <x:v>2026</x:v>
      </x:c>
      <x:c r="E19" s="17" t="str">
        <x:v>Alta demanda de atendimento</x:v>
      </x:c>
      <x:c r="F19" s="17" t="str">
        <x:v>Explorar resolução digital</x:v>
      </x:c>
      <x:c r="G19" s="17" t="str">
        <x:v>Case 2 PDF / dossiê</x:v>
      </x:c>
      <x:c r="H19" s="17" t="str">
        <x:v>Alta</x:v>
      </x:c>
    </x:row>
    <x:row r="20">
      <x:c r="A20" s="17" t="str">
        <x:v>Contatos via chat</x:v>
      </x:c>
      <x:c r="B20" s="30" t="n">
        <x:v>0.75</x:v>
      </x:c>
      <x:c r="C20" s="17" t="str">
        <x:v>Dado do case</x:v>
      </x:c>
      <x:c r="D20" s="17" t="str">
        <x:v>2026</x:v>
      </x:c>
      <x:c r="E20" s="17" t="str">
        <x:v>Maioria já é digital</x:v>
      </x:c>
      <x:c r="F20" s="17" t="str">
        <x:v>Pensar em prevenção/autoatendimento</x:v>
      </x:c>
      <x:c r="G20" s="17" t="str">
        <x:v>Case 2 PDF / dossiê</x:v>
      </x:c>
      <x:c r="H20" s="17" t="str">
        <x:v>Alta</x:v>
      </x:c>
    </x:row>
    <x:row r="21">
      <x:c r="A21" s="17" t="str">
        <x:v>Contatos via telefone</x:v>
      </x:c>
      <x:c r="B21" s="30" t="n">
        <x:v>0.25</x:v>
      </x:c>
      <x:c r="C21" s="17" t="str">
        <x:v>Dado do case</x:v>
      </x:c>
      <x:c r="D21" s="17" t="str">
        <x:v>2026</x:v>
      </x:c>
      <x:c r="E21" s="17" t="str">
        <x:v>Parcela ainda humana/voz</x:v>
      </x:c>
      <x:c r="F21" s="17" t="str">
        <x:v>Considerar casos que não devem ser automatizados</x:v>
      </x:c>
      <x:c r="G21" s="17" t="str">
        <x:v>Case 2 PDF / dossiê</x:v>
      </x:c>
      <x:c r="H21" s="17" t="str">
        <x:v>Alta</x:v>
      </x:c>
    </x:row>
    <x:row r="22">
      <x:c r="A22" s="17" t="str">
        <x:v>Clientes que renovam</x:v>
      </x:c>
      <x:c r="B22" s="30" t="n">
        <x:v>0.48</x:v>
      </x:c>
      <x:c r="C22" s="17" t="str">
        <x:v>Dado do case</x:v>
      </x:c>
      <x:c r="D22" s="17" t="str">
        <x:v>2026</x:v>
      </x:c>
      <x:c r="E22" s="17" t="str">
        <x:v>Renovação abaixo da base total</x:v>
      </x:c>
      <x:c r="F22" s="17" t="str">
        <x:v>Métrica de negócio potencialmente relacionada</x:v>
      </x:c>
      <x:c r="G22" s="17" t="str">
        <x:v>Case 2 PDF / dossiê</x:v>
      </x:c>
      <x:c r="H22" s="17" t="str">
        <x:v>Alta</x:v>
      </x:c>
    </x:row>
    <x:row r="23">
      <x:c r="A23" s="17" t="str">
        <x:v>Clientes que indicam</x:v>
      </x:c>
      <x:c r="B23" s="30" t="n">
        <x:v>0.07</x:v>
      </x:c>
      <x:c r="C23" s="17" t="str">
        <x:v>Dado do case</x:v>
      </x:c>
      <x:c r="D23" s="17" t="str">
        <x:v>2026</x:v>
      </x:c>
      <x:c r="E23" s="17" t="str">
        <x:v>Indicação ainda é pequena</x:v>
      </x:c>
      <x:c r="F23" s="17" t="str">
        <x:v>Métrica de relacionamento</x:v>
      </x:c>
      <x:c r="G23" s="17" t="str">
        <x:v>Case 2 PDF / dossiê</x:v>
      </x:c>
      <x:c r="H23" s="17" t="str">
        <x:v>Alta</x:v>
      </x:c>
    </x:row>
    <x:row r="24">
      <x:c r="A24" s="17" t="str">
        <x:v>Downloads do app</x:v>
      </x:c>
      <x:c r="B24" s="32" t="str">
        <x:v>&gt;100.000</x:v>
      </x:c>
      <x:c r="C24" s="17" t="str">
        <x:v>Dado atual do produto</x:v>
      </x:c>
      <x:c r="D24" s="17" t="str">
        <x:v>Atualização citada no dossiê</x:v>
      </x:c>
      <x:c r="E24" s="17" t="str">
        <x:v>Produto ativo e com escala</x:v>
      </x:c>
      <x:c r="F24" s="17" t="str">
        <x:v>Contextualizar proposta</x:v>
      </x:c>
      <x:c r="G24" s="17" t="str">
        <x:v>Google Play, conforme dossiê §10</x:v>
      </x:c>
      <x:c r="H24" s="17" t="str">
        <x:v>Média</x:v>
      </x:c>
    </x:row>
    <x:row r="25">
      <x:c r="A25" s="17" t="str">
        <x:v>Modelos de veículos</x:v>
      </x:c>
      <x:c r="B25" s="32" t="str">
        <x:v>&gt;150</x:v>
      </x:c>
      <x:c r="C25" s="17" t="str">
        <x:v>Dado atual do produto</x:v>
      </x:c>
      <x:c r="D25" s="17" t="str">
        <x:v>Site oficial, conforme dossiê</x:v>
      </x:c>
      <x:c r="E25" s="17" t="str">
        <x:v>Amplitude da oferta</x:v>
      </x:c>
      <x:c r="F25" s="17" t="str">
        <x:v>Reforçar complexidade/contexto</x:v>
      </x:c>
      <x:c r="G25" s="17" t="str">
        <x:v>Site oficial, dossiê §11</x:v>
      </x:c>
      <x:c r="H25" s="17" t="str">
        <x:v>Média</x:v>
      </x:c>
    </x:row>
    <x:row r="26">
      <x:c r="A26" s="17" t="str">
        <x:v>Pontos de retirada</x:v>
      </x:c>
      <x:c r="B26" s="32" t="str">
        <x:v>&gt;500</x:v>
      </x:c>
      <x:c r="C26" s="17" t="str">
        <x:v>Dado atual do produto</x:v>
      </x:c>
      <x:c r="D26" s="17" t="str">
        <x:v>Site oficial, conforme dossiê</x:v>
      </x:c>
      <x:c r="E26" s="17" t="str">
        <x:v>Capilaridade física</x:v>
      </x:c>
      <x:c r="F26" s="17" t="str">
        <x:v>Diferencial do ecossistema</x:v>
      </x:c>
      <x:c r="G26" s="17" t="str">
        <x:v>Site oficial, dossiê §11</x:v>
      </x:c>
      <x:c r="H26" s="17" t="str">
        <x:v>Média</x:v>
      </x:c>
    </x:row>
    <x:row r="27">
      <x:c r="A27" s="17" t="str">
        <x:v>Oficinas parceiras</x:v>
      </x:c>
      <x:c r="B27" s="32" t="str">
        <x:v>&gt;10.000</x:v>
      </x:c>
      <x:c r="C27" s="17" t="str">
        <x:v>Dado atual do produto</x:v>
      </x:c>
      <x:c r="D27" s="17" t="str">
        <x:v>Site oficial, conforme dossiê</x:v>
      </x:c>
      <x:c r="E27" s="17" t="str">
        <x:v>Rede operacional</x:v>
      </x:c>
      <x:c r="F27" s="17" t="str">
        <x:v>Diferencial para solução contextual</x:v>
      </x:c>
      <x:c r="G27" s="17" t="str">
        <x:v>Site oficial, dossiê §11</x:v>
      </x:c>
      <x:c r="H27" s="17" t="str">
        <x:v>Média</x:v>
      </x:c>
    </x:row>
    <x:row r="28">
      <x:c r="A28" s="17" t="str">
        <x:v>Frota ativa</x:v>
      </x:c>
      <x:c r="B28" s="32" t="str">
        <x:v>~70.000 carros</x:v>
      </x:c>
      <x:c r="C28" s="17" t="str">
        <x:v>Dado de contexto</x:v>
      </x:c>
      <x:c r="D28" s="17" t="str">
        <x:v>2026</x:v>
      </x:c>
      <x:c r="E28" s="17" t="str">
        <x:v>Escala operacional</x:v>
      </x:c>
      <x:c r="F28" s="17" t="str">
        <x:v>Contexto do ecossistema</x:v>
      </x:c>
      <x:c r="G28" s="17" t="str">
        <x:v>Case Localiza Assinatura</x:v>
      </x:c>
      <x:c r="H28" s="17" t="str">
        <x:v>Alta</x:v>
      </x:c>
    </x:row>
    <x:row r="29">
      <x:c r="A29" s="17" t="str">
        <x:v>Capital investido na frota</x:v>
      </x:c>
      <x:c r="B29" s="32" t="str">
        <x:v>~R$ 7,5 bi</x:v>
      </x:c>
      <x:c r="C29" s="17" t="str">
        <x:v>Dado de contexto</x:v>
      </x:c>
      <x:c r="D29" s="17" t="str">
        <x:v>2026</x:v>
      </x:c>
      <x:c r="E29" s="17" t="str">
        <x:v>Capital intensivo</x:v>
      </x:c>
      <x:c r="F29" s="17" t="str">
        <x:v>Contexto de negócio</x:v>
      </x:c>
      <x:c r="G29" s="17" t="str">
        <x:v>Case Localiza Assinatura</x:v>
      </x:c>
      <x:c r="H29" s="17" t="str">
        <x:v>Alta</x:v>
      </x:c>
    </x:row>
    <x:row r="30">
      <x:c r="A30" s="17" t="str">
        <x:v>Pessoas suportando operação</x:v>
      </x:c>
      <x:c r="B30" s="32" t="str">
        <x:v>~630</x:v>
      </x:c>
      <x:c r="C30" s="17" t="str">
        <x:v>Dado de contexto</x:v>
      </x:c>
      <x:c r="D30" s="17" t="str">
        <x:v>2026</x:v>
      </x:c>
      <x:c r="E30" s="17" t="str">
        <x:v>Escala operacional</x:v>
      </x:c>
      <x:c r="F30" s="17" t="str">
        <x:v>Pensar viabilidade e atendimento</x:v>
      </x:c>
      <x:c r="G30" s="17" t="str">
        <x:v>Case Localiza Assinatura</x:v>
      </x:c>
      <x:c r="H30" s="17" t="str">
        <x:v>Alta</x:v>
      </x:c>
    </x:row>
    <x:row r="31">
      <x:c r="A31" s="17" t="str">
        <x:v>NPS do produto Assinatura</x:v>
      </x:c>
      <x:c r="B31" s="32" t="n">
        <x:v>85</x:v>
      </x:c>
      <x:c r="C31" s="17" t="str">
        <x:v>Dado de contexto</x:v>
      </x:c>
      <x:c r="D31" s="17" t="str">
        <x:v>2026</x:v>
      </x:c>
      <x:c r="E31" s="17" t="str">
        <x:v>Produto tem avaliação alta</x:v>
      </x:c>
      <x:c r="F31" s="17" t="str">
        <x:v>Complementar o App NPS</x:v>
      </x:c>
      <x:c r="G31" s="17" t="str">
        <x:v>Case Localiza Assinatura</x:v>
      </x:c>
      <x:c r="H31" s="17" t="str">
        <x:v>Alta</x:v>
      </x:c>
    </x:row>
    <x:row r="32">
      <x:c r="A32" s="17" t="str">
        <x:v>Nível de serviço célula Platinum</x:v>
      </x:c>
      <x:c r="B32" s="30" t="n">
        <x:v>0.97</x:v>
      </x:c>
      <x:c r="C32" s="17" t="str">
        <x:v>Dado de contexto</x:v>
      </x:c>
      <x:c r="D32" s="17" t="str">
        <x:v>2026</x:v>
      </x:c>
      <x:c r="E32" s="17" t="str">
        <x:v>Operação com alto nível de serviço</x:v>
      </x:c>
      <x:c r="F32" s="17" t="str">
        <x:v>Entender baseline de operação</x:v>
      </x:c>
      <x:c r="G32" s="17" t="str">
        <x:v>Case Localiza Assinatura</x:v>
      </x:c>
      <x:c r="H32" s="17" t="str">
        <x:v>Alta</x:v>
      </x:c>
    </x:row>
    <x:row r="33">
      <x:c r="A33" s="16"/>
      <x:c r="B33" s="16"/>
      <x:c r="C33" s="16"/>
      <x:c r="D33" s="16"/>
      <x:c r="E33" s="16"/>
      <x:c r="F33" s="16"/>
      <x:c r="G33" s="16"/>
      <x:c r="H33" s="16"/>
    </x:row>
    <x:row r="34">
      <x:c r="A34" s="16"/>
      <x:c r="B34" s="16"/>
      <x:c r="C34" s="16"/>
      <x:c r="D34" s="16"/>
      <x:c r="E34" s="16"/>
      <x:c r="F34" s="16"/>
      <x:c r="G34" s="16"/>
      <x:c r="H34" s="16"/>
    </x:row>
    <x:row r="35">
      <x:c r="A35" s="47" t="str">
        <x:v>Distribuição de acessos</x:v>
      </x:c>
      <x:c r="B35" s="47" t="str"/>
      <x:c r="C35" s="47" t="str"/>
      <x:c r="D35" s="47" t="str"/>
      <x:c r="E35" s="47" t="str"/>
      <x:c r="F35" s="47" t="str"/>
      <x:c r="G35" s="47" t="str"/>
      <x:c r="H35" s="47" t="str"/>
    </x:row>
    <x:row r="36">
      <x:c r="A36" s="24" t="str">
        <x:v>Faixa</x:v>
      </x:c>
      <x:c r="B36" s="24" t="str">
        <x:v>Percentual</x:v>
      </x:c>
      <x:c r="C36" s="24" t="str">
        <x:v>Leitura</x:v>
      </x:c>
      <x:c r="D36" s="24" t="str">
        <x:v>Fonte</x:v>
      </x:c>
      <x:c r="E36" s="16"/>
      <x:c r="F36" s="16"/>
      <x:c r="G36" s="16"/>
      <x:c r="H36" s="16"/>
    </x:row>
    <x:row r="37">
      <x:c r="A37" s="17" t="str">
        <x:v>1–2 acessos/mês</x:v>
      </x:c>
      <x:c r="B37" s="30" t="n">
        <x:v>0.36</x:v>
      </x:c>
      <x:c r="C37" s="17" t="str">
        <x:v>Baixo engajamento; maior grupo</x:v>
      </x:c>
      <x:c r="D37" s="17" t="str">
        <x:v>Case 2 PDF / dossiê §4.2</x:v>
      </x:c>
      <x:c r="E37" s="16"/>
      <x:c r="F37" s="16"/>
      <x:c r="G37" s="16"/>
      <x:c r="H37" s="16"/>
    </x:row>
    <x:row r="38">
      <x:c r="A38" s="17" t="str">
        <x:v>3–5 acessos/mês</x:v>
      </x:c>
      <x:c r="B38" s="30" t="n">
        <x:v>0.28</x:v>
      </x:c>
      <x:c r="C38" s="17" t="str">
        <x:v>Engajamento intermediário</x:v>
      </x:c>
      <x:c r="D38" s="17" t="str">
        <x:v>Case 2 PDF / dossiê §4.2</x:v>
      </x:c>
      <x:c r="E38" s="16"/>
      <x:c r="F38" s="16"/>
      <x:c r="G38" s="16"/>
      <x:c r="H38" s="16"/>
    </x:row>
    <x:row r="39">
      <x:c r="A39" s="17" t="str">
        <x:v>6–10 acessos/mês</x:v>
      </x:c>
      <x:c r="B39" s="30" t="n">
        <x:v>0.19</x:v>
      </x:c>
      <x:c r="C39" s="17" t="str">
        <x:v>Engajamento intermediário-alto</x:v>
      </x:c>
      <x:c r="D39" s="17" t="str">
        <x:v>Case 2 PDF / dossiê §4.2</x:v>
      </x:c>
      <x:c r="E39" s="16"/>
      <x:c r="F39" s="16"/>
      <x:c r="G39" s="16"/>
      <x:c r="H39" s="16"/>
    </x:row>
    <x:row r="40">
      <x:c r="A40" s="17" t="str">
        <x:v>11–20 acessos/mês</x:v>
      </x:c>
      <x:c r="B40" s="30" t="n">
        <x:v>0.11</x:v>
      </x:c>
      <x:c r="C40" s="17" t="str">
        <x:v>Alto engajamento</x:v>
      </x:c>
      <x:c r="D40" s="17" t="str">
        <x:v>Case 2 PDF / dossiê §4.2</x:v>
      </x:c>
      <x:c r="E40" s="16"/>
      <x:c r="F40" s="16"/>
      <x:c r="G40" s="16"/>
      <x:c r="H40" s="16"/>
    </x:row>
    <x:row r="41">
      <x:c r="A41" s="17" t="str">
        <x:v>21+ acessos/mês</x:v>
      </x:c>
      <x:c r="B41" s="30" t="n">
        <x:v>0.06</x:v>
      </x:c>
      <x:c r="C41" s="17" t="str">
        <x:v>Alto engajamento extremo</x:v>
      </x:c>
      <x:c r="D41" s="17" t="str">
        <x:v>Case 2 PDF / dossiê §4.2</x:v>
      </x:c>
      <x:c r="E41" s="16"/>
      <x:c r="F41" s="16"/>
      <x:c r="G41" s="16"/>
      <x:c r="H41" s="16"/>
    </x:row>
    <x:row r="42">
      <x:c r="A42" s="17" t="str">
        <x:v>11+ acessos/mês (derivado)</x:v>
      </x:c>
      <x:c r="B42" s="30" t="n">
        <x:f>B40+B41</x:f>
        <x:v>0.16999999999999998</x:v>
      </x:c>
      <x:c r="C42" s="17" t="str">
        <x:v>Soma de 11–20 + 21+</x:v>
      </x:c>
      <x:c r="D42" s="17" t="str">
        <x:v>Calculado a partir dos dados do case</x:v>
      </x:c>
      <x:c r="E42" s="16"/>
      <x:c r="F42" s="16"/>
      <x:c r="G42" s="16"/>
      <x:c r="H42" s="16"/>
    </x:row>
    <x:row r="43">
      <x:c r="A43" s="16"/>
      <x:c r="B43" s="16"/>
      <x:c r="C43" s="16"/>
      <x:c r="D43" s="16"/>
      <x:c r="E43" s="16"/>
      <x:c r="F43" s="16"/>
      <x:c r="G43" s="16"/>
      <x:c r="H43" s="16"/>
    </x:row>
    <x:row r="44">
      <x:c r="A44" s="40" t="str">
        <x:v>Ponto de atenção</x:v>
      </x:c>
      <x:c r="B44" s="40" t="str">
        <x:v>O app já possui alta adesão e alto NPS; o desafio é criar mais valor recorrente e contextual, não apenas aumentar acessos.</x:v>
      </x:c>
      <x:c r="C44" s="40" t="str"/>
      <x:c r="D44" s="40" t="str"/>
      <x:c r="E44" s="40" t="str"/>
      <x:c r="F44" s="40" t="str"/>
      <x:c r="G44" s="40" t="str"/>
      <x:c r="H44" s="40" t="str"/>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18" hidden="0" customWidth="1"/>
    <x:col min="4" max="4" width="18" hidden="0" customWidth="1"/>
    <x:col min="5" max="5" width="20" hidden="0" customWidth="1"/>
    <x:col min="6" max="6" width="14" hidden="0" customWidth="1"/>
    <x:col min="7" max="7" width="24" hidden="0" customWidth="1"/>
    <x:col min="8" max="8" width="36" hidden="0" customWidth="1"/>
    <x:col min="9" max="9" width="34" hidden="0" customWidth="1"/>
    <x:col min="10" max="10" width="18" hidden="0" customWidth="1"/>
    <x:col min="12" max="12" width="30" hidden="0" customWidth="1"/>
    <x:col min="13" max="13" width="22" hidden="0" customWidth="1"/>
    <x:col min="14" max="14" width="18" hidden="0" customWidth="1"/>
  </x:cols>
  <x:sheetData>
    <x:row r="1" ht="28" customHeight="1">
      <x:c r="A1" s="5" t="str">
        <x:v>Base quantitativa — Case 2</x:v>
      </x:c>
    </x:row>
    <x:row r="3">
      <x:c r="A3" s="24" t="str">
        <x:v>ID</x:v>
      </x:c>
      <x:c r="B3" s="24" t="str">
        <x:v>Indicador</x:v>
      </x:c>
      <x:c r="C3" s="24" t="str">
        <x:v>Valor</x:v>
      </x:c>
      <x:c r="D3" s="24" t="str">
        <x:v>Unidade</x:v>
      </x:c>
      <x:c r="E3" s="24" t="str">
        <x:v>Tipo</x:v>
      </x:c>
      <x:c r="F3" s="24" t="str">
        <x:v>Período/Base</x:v>
      </x:c>
      <x:c r="G3" s="24" t="str">
        <x:v>População/Base</x:v>
      </x:c>
      <x:c r="H3" s="24" t="str">
        <x:v>Observação</x:v>
      </x:c>
      <x:c r="I3" s="24" t="str">
        <x:v>Fonte</x:v>
      </x:c>
      <x:c r="J3" s="24" t="str">
        <x:v>Status</x:v>
      </x:c>
      <x:c r="K3" s="16"/>
      <x:c r="L3" s="24" t="str">
        <x:v>Derivados úteis</x:v>
      </x:c>
      <x:c r="M3" s="24" t="str">
        <x:v>Fórmula</x:v>
      </x:c>
      <x:c r="N3" s="24" t="str">
        <x:v>Resultado</x:v>
      </x:c>
    </x:row>
    <x:row r="4">
      <x:c r="A4" s="17" t="str">
        <x:v>Q01</x:v>
      </x:c>
      <x:c r="B4" s="17" t="str">
        <x:v>Clientes Localiza Assinatura</x:v>
      </x:c>
      <x:c r="C4" s="32" t="n">
        <x:v>70000</x:v>
      </x:c>
      <x:c r="D4" s="17" t="str">
        <x:v>clientes</x:v>
      </x:c>
      <x:c r="E4" s="17" t="str">
        <x:v>Dado do case</x:v>
      </x:c>
      <x:c r="F4" s="17" t="str">
        <x:v>2026</x:v>
      </x:c>
      <x:c r="G4" s="17" t="str">
        <x:v>base de clientes</x:v>
      </x:c>
      <x:c r="H4" s="17" t="str">
        <x:v>aprox.</x:v>
      </x:c>
      <x:c r="I4" s="17" t="str">
        <x:v>Cases PDF / dossiê §4.1</x:v>
      </x:c>
      <x:c r="J4" s="17" t="str">
        <x:v>Confirmado</x:v>
      </x:c>
      <x:c r="K4" s="16"/>
      <x:c r="L4" s="17" t="str">
        <x:v>High engagement (11+)</x:v>
      </x:c>
      <x:c r="M4" s="17" t="str">
        <x:v>11% + 6%</x:v>
      </x:c>
      <x:c r="N4" s="30" t="n">
        <x:f>0.11+0.06</x:f>
        <x:v>0.16999999999999998</x:v>
      </x:c>
    </x:row>
    <x:row r="5">
      <x:c r="A5" s="17" t="str">
        <x:v>Q02</x:v>
      </x:c>
      <x:c r="B5" s="17" t="str">
        <x:v>Clientes que acessam no mês</x:v>
      </x:c>
      <x:c r="C5" s="30" t="n">
        <x:v>0.801</x:v>
      </x:c>
      <x:c r="D5" s="17" t="str">
        <x:v>% clientes</x:v>
      </x:c>
      <x:c r="E5" s="17" t="str">
        <x:v>Dado do case</x:v>
      </x:c>
      <x:c r="F5" s="17" t="str">
        <x:v>2026</x:v>
      </x:c>
      <x:c r="G5" s="17" t="str">
        <x:v>clientes</x:v>
      </x:c>
      <x:c r="H5" s="17" t="str">
        <x:v>80,1% no slide; dossiê resume &gt;80%</x:v>
      </x:c>
      <x:c r="I5" s="17" t="str">
        <x:v>Case 2 PDF / dossiê §4.1</x:v>
      </x:c>
      <x:c r="J5" s="17" t="str">
        <x:v>Confirmado</x:v>
      </x:c>
      <x:c r="K5" s="16"/>
      <x:c r="L5" s="17" t="str">
        <x:v>Engagement intermediário (3–10)</x:v>
      </x:c>
      <x:c r="M5" s="17" t="str">
        <x:v>28% + 19%</x:v>
      </x:c>
      <x:c r="N5" s="30" t="n">
        <x:f>0.28+0.19</x:f>
        <x:v>0.47000000000000003</x:v>
      </x:c>
    </x:row>
    <x:row r="6">
      <x:c r="A6" s="17" t="str">
        <x:v>Q03</x:v>
      </x:c>
      <x:c r="B6" s="17" t="str">
        <x:v>MAU</x:v>
      </x:c>
      <x:c r="C6" s="30" t="n">
        <x:v>53000</x:v>
      </x:c>
      <x:c r="D6" s="17" t="str">
        <x:v>usuários/mês</x:v>
      </x:c>
      <x:c r="E6" s="17" t="str">
        <x:v>Dado do case</x:v>
      </x:c>
      <x:c r="F6" s="17" t="str">
        <x:v>2026</x:v>
      </x:c>
      <x:c r="G6" s="17" t="str">
        <x:v>clientes</x:v>
      </x:c>
      <x:c r="H6" s="17" t="str">
        <x:v>Usuários ativos mensais</x:v>
      </x:c>
      <x:c r="I6" s="17" t="str">
        <x:v>Case 2 PDF / dossiê §4.1</x:v>
      </x:c>
      <x:c r="J6" s="17" t="str">
        <x:v>Confirmado</x:v>
      </x:c>
      <x:c r="K6" s="16"/>
      <x:c r="L6" s="17" t="str">
        <x:v>6+ acessos/mês</x:v>
      </x:c>
      <x:c r="M6" s="17" t="str">
        <x:v>19% + 11% + 6%</x:v>
      </x:c>
      <x:c r="N6" s="30" t="n">
        <x:f>0.19+0.11+0.06</x:f>
        <x:v>0.36</x:v>
      </x:c>
    </x:row>
    <x:row r="7">
      <x:c r="A7" s="17" t="str">
        <x:v>Q04</x:v>
      </x:c>
      <x:c r="B7" s="17" t="str">
        <x:v>WAU</x:v>
      </x:c>
      <x:c r="C7" s="32" t="n">
        <x:v>31000</x:v>
      </x:c>
      <x:c r="D7" s="17" t="str">
        <x:v>usuários/semana</x:v>
      </x:c>
      <x:c r="E7" s="17" t="str">
        <x:v>Dado do case</x:v>
      </x:c>
      <x:c r="F7" s="17" t="str">
        <x:v>2026</x:v>
      </x:c>
      <x:c r="G7" s="17" t="str">
        <x:v>clientes</x:v>
      </x:c>
      <x:c r="H7" s="17" t="str">
        <x:v>Usuários ativos semanais</x:v>
      </x:c>
      <x:c r="I7" s="17" t="str">
        <x:v>Case 2 PDF / dossiê §4.1</x:v>
      </x:c>
      <x:c r="J7" s="17" t="str">
        <x:v>Confirmado</x:v>
      </x:c>
      <x:c r="K7" s="16"/>
      <x:c r="L7" s="17" t="str">
        <x:v>Baixo engajamento (1–2)</x:v>
      </x:c>
      <x:c r="M7" s="17" t="str">
        <x:v>36%</x:v>
      </x:c>
      <x:c r="N7" s="30" t="n">
        <x:v>0.36</x:v>
      </x:c>
    </x:row>
    <x:row r="8">
      <x:c r="A8" s="17" t="str">
        <x:v>Q05</x:v>
      </x:c>
      <x:c r="B8" s="17" t="str">
        <x:v>Usuários que acessaram nos últimos 3 meses</x:v>
      </x:c>
      <x:c r="C8" s="32" t="n">
        <x:v>0.955</x:v>
      </x:c>
      <x:c r="D8" s="17" t="str">
        <x:v>% usuários</x:v>
      </x:c>
      <x:c r="E8" s="17" t="str">
        <x:v>Dado do case</x:v>
      </x:c>
      <x:c r="F8" s="17" t="str">
        <x:v>2026</x:v>
      </x:c>
      <x:c r="G8" s="17" t="str">
        <x:v>usuários</x:v>
      </x:c>
      <x:c r="H8" s="17" t="str">
        <x:v>95,5%</x:v>
      </x:c>
      <x:c r="I8" s="17" t="str">
        <x:v>Case 2 PDF, slide de dados</x:v>
      </x:c>
      <x:c r="J8" s="17" t="str">
        <x:v>Confirmado</x:v>
      </x:c>
      <x:c r="K8" s="16"/>
      <x:c r="L8" s="17" t="str">
        <x:v>App NPS – NPS relacional</x:v>
      </x:c>
      <x:c r="M8" s="17" t="str">
        <x:v>84 - 45</x:v>
      </x:c>
      <x:c r="N8" s="17" t="n">
        <x:v>39</x:v>
      </x:c>
    </x:row>
    <x:row r="9">
      <x:c r="A9" s="17" t="str">
        <x:v>Q06</x:v>
      </x:c>
      <x:c r="B9" s="17" t="str">
        <x:v>Usuários que acessaram nos últimos 6 meses</x:v>
      </x:c>
      <x:c r="C9" s="32" t="n">
        <x:v>0.99</x:v>
      </x:c>
      <x:c r="D9" s="17" t="str">
        <x:v>% usuários</x:v>
      </x:c>
      <x:c r="E9" s="17" t="str">
        <x:v>Dado do case</x:v>
      </x:c>
      <x:c r="F9" s="17" t="str">
        <x:v>2026</x:v>
      </x:c>
      <x:c r="G9" s="17" t="str">
        <x:v>usuários</x:v>
      </x:c>
      <x:c r="H9" s="17" t="str">
        <x:v>99%</x:v>
      </x:c>
      <x:c r="I9" s="17" t="str">
        <x:v>Case 2 PDF, slide de dados</x:v>
      </x:c>
      <x:c r="J9" s="17" t="str">
        <x:v>Confirmado</x:v>
      </x:c>
      <x:c r="K9" s="16"/>
      <x:c r="L9" s="16"/>
      <x:c r="M9" s="16"/>
      <x:c r="N9" s="16"/>
    </x:row>
    <x:row r="10">
      <x:c r="A10" s="17" t="str">
        <x:v>Q07</x:v>
      </x:c>
      <x:c r="B10" s="17" t="str">
        <x:v>1–2 acessos/mês</x:v>
      </x:c>
      <x:c r="C10" s="30" t="n">
        <x:v>0.36</x:v>
      </x:c>
      <x:c r="D10" s="17" t="str">
        <x:v>% dos que acessam</x:v>
      </x:c>
      <x:c r="E10" s="17" t="str">
        <x:v>Dado do case</x:v>
      </x:c>
      <x:c r="F10" s="17" t="str">
        <x:v>2026</x:v>
      </x:c>
      <x:c r="G10" s="17" t="str">
        <x:v>usuários que acessam</x:v>
      </x:c>
      <x:c r="H10" s="17" t="str">
        <x:v>Maior faixa</x:v>
      </x:c>
      <x:c r="I10" s="17" t="str">
        <x:v>Case 2 PDF / dossiê §4.2</x:v>
      </x:c>
      <x:c r="J10" s="17" t="str">
        <x:v>Confirmado</x:v>
      </x:c>
      <x:c r="K10" s="16"/>
      <x:c r="L10" s="16"/>
      <x:c r="M10" s="16"/>
      <x:c r="N10" s="16"/>
    </x:row>
    <x:row r="11">
      <x:c r="A11" s="17" t="str">
        <x:v>Q08</x:v>
      </x:c>
      <x:c r="B11" s="17" t="str">
        <x:v>3–5 acessos/mês</x:v>
      </x:c>
      <x:c r="C11" s="30" t="n">
        <x:v>0.28</x:v>
      </x:c>
      <x:c r="D11" s="17" t="str">
        <x:v>% dos que acessam</x:v>
      </x:c>
      <x:c r="E11" s="17" t="str">
        <x:v>Dado do case</x:v>
      </x:c>
      <x:c r="F11" s="17" t="str">
        <x:v>2026</x:v>
      </x:c>
      <x:c r="G11" s="17" t="str">
        <x:v>usuários que acessam</x:v>
      </x:c>
      <x:c r="H11" s="17" t="str"/>
      <x:c r="I11" s="17" t="str">
        <x:v>Case 2 PDF / dossiê §4.2</x:v>
      </x:c>
      <x:c r="J11" s="17" t="str">
        <x:v>Confirmado</x:v>
      </x:c>
      <x:c r="K11" s="16"/>
      <x:c r="L11" s="16"/>
      <x:c r="M11" s="16"/>
      <x:c r="N11" s="16"/>
    </x:row>
    <x:row r="12">
      <x:c r="A12" s="17" t="str">
        <x:v>Q09</x:v>
      </x:c>
      <x:c r="B12" s="17" t="str">
        <x:v>6–10 acessos/mês</x:v>
      </x:c>
      <x:c r="C12" s="30" t="n">
        <x:v>0.19</x:v>
      </x:c>
      <x:c r="D12" s="17" t="str">
        <x:v>% dos que acessam</x:v>
      </x:c>
      <x:c r="E12" s="17" t="str">
        <x:v>Dado do case</x:v>
      </x:c>
      <x:c r="F12" s="17" t="str">
        <x:v>2026</x:v>
      </x:c>
      <x:c r="G12" s="17" t="str">
        <x:v>usuários que acessam</x:v>
      </x:c>
      <x:c r="H12" s="17" t="str"/>
      <x:c r="I12" s="17" t="str">
        <x:v>Case 2 PDF / dossiê §4.2</x:v>
      </x:c>
      <x:c r="J12" s="17" t="str">
        <x:v>Confirmado</x:v>
      </x:c>
      <x:c r="K12" s="16"/>
      <x:c r="L12" s="16"/>
      <x:c r="M12" s="16"/>
      <x:c r="N12" s="16"/>
    </x:row>
    <x:row r="13">
      <x:c r="A13" s="17" t="str">
        <x:v>Q10</x:v>
      </x:c>
      <x:c r="B13" s="17" t="str">
        <x:v>11–20 acessos/mês</x:v>
      </x:c>
      <x:c r="C13" s="30" t="n">
        <x:v>0.11</x:v>
      </x:c>
      <x:c r="D13" s="17" t="str">
        <x:v>% dos que acessam</x:v>
      </x:c>
      <x:c r="E13" s="17" t="str">
        <x:v>Dado do case</x:v>
      </x:c>
      <x:c r="F13" s="17" t="str">
        <x:v>2026</x:v>
      </x:c>
      <x:c r="G13" s="17" t="str">
        <x:v>usuários que acessam</x:v>
      </x:c>
      <x:c r="H13" s="17" t="str"/>
      <x:c r="I13" s="17" t="str">
        <x:v>Case 2 PDF / dossiê §4.2</x:v>
      </x:c>
      <x:c r="J13" s="17" t="str">
        <x:v>Confirmado</x:v>
      </x:c>
      <x:c r="K13" s="16"/>
      <x:c r="L13" s="16"/>
      <x:c r="M13" s="16"/>
      <x:c r="N13" s="16"/>
    </x:row>
    <x:row r="14">
      <x:c r="A14" s="17" t="str">
        <x:v>Q11</x:v>
      </x:c>
      <x:c r="B14" s="17" t="str">
        <x:v>21+ acessos/mês</x:v>
      </x:c>
      <x:c r="C14" s="30" t="n">
        <x:v>0.06</x:v>
      </x:c>
      <x:c r="D14" s="17" t="str">
        <x:v>% dos que acessam</x:v>
      </x:c>
      <x:c r="E14" s="17" t="str">
        <x:v>Dado do case</x:v>
      </x:c>
      <x:c r="F14" s="17" t="str">
        <x:v>2026</x:v>
      </x:c>
      <x:c r="G14" s="17" t="str">
        <x:v>usuários que acessam</x:v>
      </x:c>
      <x:c r="H14" s="17" t="str"/>
      <x:c r="I14" s="17" t="str">
        <x:v>Case 2 PDF / dossiê §4.2</x:v>
      </x:c>
      <x:c r="J14" s="17" t="str">
        <x:v>Confirmado</x:v>
      </x:c>
      <x:c r="K14" s="16"/>
      <x:c r="L14" s="16"/>
      <x:c r="M14" s="16"/>
      <x:c r="N14" s="16"/>
    </x:row>
    <x:row r="15">
      <x:c r="A15" s="17" t="str">
        <x:v>Q12</x:v>
      </x:c>
      <x:c r="B15" s="17" t="str">
        <x:v>11+ acessos/mês (derivado)</x:v>
      </x:c>
      <x:c r="C15" s="30"/>
      <x:c r="D15" s="17" t="str">
        <x:v>% dos que acessam</x:v>
      </x:c>
      <x:c r="E15" s="17" t="str">
        <x:v>Derivado</x:v>
      </x:c>
      <x:c r="F15" s="17" t="str">
        <x:v>2026</x:v>
      </x:c>
      <x:c r="G15" s="17" t="str">
        <x:v>usuários que acessam</x:v>
      </x:c>
      <x:c r="H15" s="17" t="str">
        <x:v>11% + 6%</x:v>
      </x:c>
      <x:c r="I15" s="17" t="str">
        <x:v>Calculado a partir de Q10 + Q11</x:v>
      </x:c>
      <x:c r="J15" s="17" t="str">
        <x:v>Calculado</x:v>
      </x:c>
      <x:c r="K15" s="16"/>
      <x:c r="L15" s="16"/>
      <x:c r="M15" s="16"/>
      <x:c r="N15" s="16"/>
    </x:row>
    <x:row r="16">
      <x:c r="A16" s="17" t="str">
        <x:v>Q13</x:v>
      </x:c>
      <x:c r="B16" s="17" t="str">
        <x:v>App NPS</x:v>
      </x:c>
      <x:c r="C16" s="30" t="n">
        <x:v>84</x:v>
      </x:c>
      <x:c r="D16" s="17" t="str">
        <x:v>NPS</x:v>
      </x:c>
      <x:c r="E16" s="17" t="str">
        <x:v>Dado do case</x:v>
      </x:c>
      <x:c r="F16" s="17" t="str">
        <x:v>2026</x:v>
      </x:c>
      <x:c r="G16" s="17" t="str">
        <x:v>usuários do app</x:v>
      </x:c>
      <x:c r="H16" s="17" t="str">
        <x:v>O app é bem avaliado</x:v>
      </x:c>
      <x:c r="I16" s="17" t="str">
        <x:v>Case 2 PDF / dossiê §4.3</x:v>
      </x:c>
      <x:c r="J16" s="17" t="str">
        <x:v>Confirmado</x:v>
      </x:c>
      <x:c r="K16" s="16"/>
      <x:c r="L16" s="16"/>
      <x:c r="M16" s="16"/>
      <x:c r="N16" s="16"/>
    </x:row>
    <x:row r="17">
      <x:c r="A17" s="17" t="str">
        <x:v>Q14</x:v>
      </x:c>
      <x:c r="B17" s="17" t="str">
        <x:v>NPS relacional Assinatura</x:v>
      </x:c>
      <x:c r="C17" s="30" t="n">
        <x:v>45</x:v>
      </x:c>
      <x:c r="D17" s="17" t="str">
        <x:v>NPS</x:v>
      </x:c>
      <x:c r="E17" s="17" t="str">
        <x:v>Dado do case</x:v>
      </x:c>
      <x:c r="F17" s="17" t="str">
        <x:v>2026</x:v>
      </x:c>
      <x:c r="G17" s="17" t="str">
        <x:v>clientes assinatura</x:v>
      </x:c>
      <x:c r="H17" s="17" t="str">
        <x:v>aprox.</x:v>
      </x:c>
      <x:c r="I17" s="17" t="str">
        <x:v>Case 2 PDF / dossiê §4.3</x:v>
      </x:c>
      <x:c r="J17" s="17" t="str">
        <x:v>Confirmado</x:v>
      </x:c>
      <x:c r="K17" s="16"/>
      <x:c r="L17" s="16"/>
      <x:c r="M17" s="16"/>
      <x:c r="N17" s="16"/>
    </x:row>
    <x:row r="18">
      <x:c r="A18" s="17" t="str">
        <x:v>Q15</x:v>
      </x:c>
      <x:c r="B18" s="17" t="str">
        <x:v>Contatos mensais</x:v>
      </x:c>
      <x:c r="C18" s="32" t="str">
        <x:v>&gt;80.000</x:v>
      </x:c>
      <x:c r="D18" s="17" t="str">
        <x:v>contatos/mês</x:v>
      </x:c>
      <x:c r="E18" s="17" t="str">
        <x:v>Dado do case</x:v>
      </x:c>
      <x:c r="F18" s="17" t="str">
        <x:v>2026</x:v>
      </x:c>
      <x:c r="G18" s="17" t="str">
        <x:v>clientes/atendimento</x:v>
      </x:c>
      <x:c r="H18" s="17" t="str">
        <x:v>valor é apresentado como 'mais de'</x:v>
      </x:c>
      <x:c r="I18" s="17" t="str">
        <x:v>Case 2 PDF / dossiê §6.3</x:v>
      </x:c>
      <x:c r="J18" s="17" t="str">
        <x:v>Confirmado</x:v>
      </x:c>
      <x:c r="K18" s="16"/>
      <x:c r="L18" s="16"/>
      <x:c r="M18" s="16"/>
      <x:c r="N18" s="16"/>
    </x:row>
    <x:row r="19">
      <x:c r="A19" s="17" t="str">
        <x:v>Q16</x:v>
      </x:c>
      <x:c r="B19" s="17" t="str">
        <x:v>Contatos via chat</x:v>
      </x:c>
      <x:c r="C19" s="32" t="n">
        <x:v>0.75</x:v>
      </x:c>
      <x:c r="D19" s="17" t="str">
        <x:v>% contatos</x:v>
      </x:c>
      <x:c r="E19" s="17" t="str">
        <x:v>Dado do case</x:v>
      </x:c>
      <x:c r="F19" s="17" t="str">
        <x:v>2026</x:v>
      </x:c>
      <x:c r="G19" s="17" t="str">
        <x:v>contatos mensais</x:v>
      </x:c>
      <x:c r="H19" s="17" t="str">
        <x:v>aprox.</x:v>
      </x:c>
      <x:c r="I19" s="17" t="str">
        <x:v>Case 2 PDF / dossiê §6.3</x:v>
      </x:c>
      <x:c r="J19" s="17" t="str">
        <x:v>Confirmado</x:v>
      </x:c>
      <x:c r="K19" s="16"/>
      <x:c r="L19" s="16"/>
      <x:c r="M19" s="16"/>
      <x:c r="N19" s="16"/>
    </x:row>
    <x:row r="20">
      <x:c r="A20" s="17" t="str">
        <x:v>Q17</x:v>
      </x:c>
      <x:c r="B20" s="17" t="str">
        <x:v>Contatos via telefone</x:v>
      </x:c>
      <x:c r="C20" s="32" t="n">
        <x:v>0.25</x:v>
      </x:c>
      <x:c r="D20" s="17" t="str">
        <x:v>% contatos</x:v>
      </x:c>
      <x:c r="E20" s="17" t="str">
        <x:v>Dado do case</x:v>
      </x:c>
      <x:c r="F20" s="17" t="str">
        <x:v>2026</x:v>
      </x:c>
      <x:c r="G20" s="17" t="str">
        <x:v>contatos mensais</x:v>
      </x:c>
      <x:c r="H20" s="17" t="str">
        <x:v>aprox.</x:v>
      </x:c>
      <x:c r="I20" s="17" t="str">
        <x:v>Case 2 PDF / dossiê §6.3</x:v>
      </x:c>
      <x:c r="J20" s="17" t="str">
        <x:v>Confirmado</x:v>
      </x:c>
      <x:c r="K20" s="16"/>
      <x:c r="L20" s="16"/>
      <x:c r="M20" s="16"/>
      <x:c r="N20" s="16"/>
    </x:row>
    <x:row r="21">
      <x:c r="A21" s="17" t="str">
        <x:v>Q18</x:v>
      </x:c>
      <x:c r="B21" s="17" t="str">
        <x:v>Renovação ao fim do contrato</x:v>
      </x:c>
      <x:c r="C21" s="30" t="n">
        <x:v>0.48</x:v>
      </x:c>
      <x:c r="D21" s="17" t="str">
        <x:v>% clientes</x:v>
      </x:c>
      <x:c r="E21" s="17" t="str">
        <x:v>Dado do case</x:v>
      </x:c>
      <x:c r="F21" s="17" t="str">
        <x:v>2026</x:v>
      </x:c>
      <x:c r="G21" s="17" t="str">
        <x:v>clientes com contrato encerrando</x:v>
      </x:c>
      <x:c r="H21" s="17" t="str">
        <x:v>aprox.</x:v>
      </x:c>
      <x:c r="I21" s="17" t="str">
        <x:v>Case 2 PDF / dossiê §6.4</x:v>
      </x:c>
      <x:c r="J21" s="17" t="str">
        <x:v>Confirmado</x:v>
      </x:c>
      <x:c r="K21" s="16"/>
      <x:c r="L21" s="16"/>
      <x:c r="M21" s="16"/>
      <x:c r="N21" s="16"/>
    </x:row>
    <x:row r="22">
      <x:c r="A22" s="17" t="str">
        <x:v>Q19</x:v>
      </x:c>
      <x:c r="B22" s="17" t="str">
        <x:v>Indicação de amigo/familiar</x:v>
      </x:c>
      <x:c r="C22" s="30" t="n">
        <x:v>0.07</x:v>
      </x:c>
      <x:c r="D22" s="17" t="str">
        <x:v>% clientes</x:v>
      </x:c>
      <x:c r="E22" s="17" t="str">
        <x:v>Dado do case</x:v>
      </x:c>
      <x:c r="F22" s="17" t="str">
        <x:v>2026</x:v>
      </x:c>
      <x:c r="G22" s="17" t="str">
        <x:v>clientes</x:v>
      </x:c>
      <x:c r="H22" s="17" t="str">
        <x:v>aprox.</x:v>
      </x:c>
      <x:c r="I22" s="17" t="str">
        <x:v>Case 2 PDF / dossiê §6.5</x:v>
      </x:c>
      <x:c r="J22" s="17" t="str">
        <x:v>Confirmado</x:v>
      </x:c>
      <x:c r="K22" s="16"/>
      <x:c r="L22" s="16"/>
      <x:c r="M22" s="16"/>
      <x:c r="N22" s="16"/>
    </x:row>
    <x:row r="23">
      <x:c r="A23" s="17" t="str">
        <x:v>Q20</x:v>
      </x:c>
      <x:c r="B23" s="17" t="str">
        <x:v>Downloads do app</x:v>
      </x:c>
      <x:c r="C23" s="32" t="str">
        <x:v>&gt;100.000</x:v>
      </x:c>
      <x:c r="D23" s="17" t="str">
        <x:v>downloads</x:v>
      </x:c>
      <x:c r="E23" s="17" t="str">
        <x:v>Dado atual do produto</x:v>
      </x:c>
      <x:c r="F23" s="17" t="str">
        <x:v>24/09/2026</x:v>
      </x:c>
      <x:c r="G23" s="17" t="str">
        <x:v>Google Play</x:v>
      </x:c>
      <x:c r="H23" s="17" t="str">
        <x:v>data de atualização do app mencionada no dossiê</x:v>
      </x:c>
      <x:c r="I23" s="17" t="str">
        <x:v>Google Play, conforme dossiê §10</x:v>
      </x:c>
      <x:c r="J23" s="17" t="str">
        <x:v>Confirmado no dossiê</x:v>
      </x:c>
      <x:c r="K23" s="16"/>
      <x:c r="L23" s="16"/>
      <x:c r="M23" s="16"/>
      <x:c r="N23" s="16"/>
    </x:row>
    <x:row r="24">
      <x:c r="A24" s="17" t="str">
        <x:v>Q21</x:v>
      </x:c>
      <x:c r="B24" s="17" t="str">
        <x:v>Modelos de veículos</x:v>
      </x:c>
      <x:c r="C24" s="32" t="str">
        <x:v>&gt;150</x:v>
      </x:c>
      <x:c r="D24" s="17" t="str">
        <x:v>modelos</x:v>
      </x:c>
      <x:c r="E24" s="17" t="str">
        <x:v>Dado atual do produto</x:v>
      </x:c>
      <x:c r="F24" s="17" t="str">
        <x:v>2026</x:v>
      </x:c>
      <x:c r="G24" s="17" t="str">
        <x:v>oferta Localiza Assinatura</x:v>
      </x:c>
      <x:c r="H24" s="17" t="str">
        <x:v>site oficial</x:v>
      </x:c>
      <x:c r="I24" s="17" t="str">
        <x:v>Site oficial, conforme dossiê §11</x:v>
      </x:c>
      <x:c r="J24" s="17" t="str">
        <x:v>Confirmado no dossiê</x:v>
      </x:c>
      <x:c r="K24" s="16"/>
      <x:c r="L24" s="16"/>
      <x:c r="M24" s="16"/>
      <x:c r="N24" s="16"/>
    </x:row>
    <x:row r="25">
      <x:c r="A25" s="17" t="str">
        <x:v>Q22</x:v>
      </x:c>
      <x:c r="B25" s="17" t="str">
        <x:v>Pontos de retirada</x:v>
      </x:c>
      <x:c r="C25" s="44" t="str">
        <x:v>&gt;500</x:v>
      </x:c>
      <x:c r="D25" s="17" t="str">
        <x:v>pontos</x:v>
      </x:c>
      <x:c r="E25" s="17" t="str">
        <x:v>Dado atual do produto</x:v>
      </x:c>
      <x:c r="F25" s="17" t="str">
        <x:v>2026</x:v>
      </x:c>
      <x:c r="G25" s="17" t="str">
        <x:v>operação Localiza Assinatura</x:v>
      </x:c>
      <x:c r="H25" s="17" t="str">
        <x:v>site oficial</x:v>
      </x:c>
      <x:c r="I25" s="17" t="str">
        <x:v>Site oficial, conforme dossiê §11</x:v>
      </x:c>
      <x:c r="J25" s="17" t="str">
        <x:v>Confirmado no dossiê</x:v>
      </x:c>
      <x:c r="K25" s="16"/>
      <x:c r="L25" s="16"/>
      <x:c r="M25" s="16"/>
      <x:c r="N25" s="16"/>
    </x:row>
    <x:row r="26">
      <x:c r="A26" s="17" t="str">
        <x:v>Q23</x:v>
      </x:c>
      <x:c r="B26" s="17" t="str">
        <x:v>Oficinas parceiras</x:v>
      </x:c>
      <x:c r="C26" s="32" t="str">
        <x:v>&gt;10.000</x:v>
      </x:c>
      <x:c r="D26" s="17" t="str">
        <x:v>oficinas</x:v>
      </x:c>
      <x:c r="E26" s="17" t="str">
        <x:v>Dado atual do produto</x:v>
      </x:c>
      <x:c r="F26" s="17" t="str">
        <x:v>2026</x:v>
      </x:c>
      <x:c r="G26" s="17" t="str">
        <x:v>rede Localiza Assinatura</x:v>
      </x:c>
      <x:c r="H26" s="17" t="str">
        <x:v>site oficial</x:v>
      </x:c>
      <x:c r="I26" s="17" t="str">
        <x:v>Site oficial, conforme dossiê §11</x:v>
      </x:c>
      <x:c r="J26" s="17" t="str">
        <x:v>Confirmado no dossiê</x:v>
      </x:c>
      <x:c r="K26" s="16"/>
      <x:c r="L26" s="16"/>
      <x:c r="M26" s="16"/>
      <x:c r="N26" s="16"/>
    </x:row>
    <x:row r="27">
      <x:c r="A27" s="17" t="str">
        <x:v>Q24</x:v>
      </x:c>
      <x:c r="B27" s="17" t="str">
        <x:v>Frota ativa</x:v>
      </x:c>
      <x:c r="C27" s="32" t="n">
        <x:v>70000</x:v>
      </x:c>
      <x:c r="D27" s="17" t="str">
        <x:v>carros</x:v>
      </x:c>
      <x:c r="E27" s="17" t="str">
        <x:v>Dado de contexto</x:v>
      </x:c>
      <x:c r="F27" s="17" t="str">
        <x:v>2026</x:v>
      </x:c>
      <x:c r="G27" s="17" t="str">
        <x:v>Localiza Assinatura</x:v>
      </x:c>
      <x:c r="H27" s="17" t="str">
        <x:v>aprox.</x:v>
      </x:c>
      <x:c r="I27" s="17" t="str">
        <x:v>Case Localiza Assinatura, slide de contexto</x:v>
      </x:c>
      <x:c r="J27" s="17" t="str">
        <x:v>Confirmado</x:v>
      </x:c>
      <x:c r="K27" s="16"/>
      <x:c r="L27" s="16"/>
      <x:c r="M27" s="16"/>
      <x:c r="N27" s="16"/>
    </x:row>
    <x:row r="28">
      <x:c r="A28" s="17" t="str">
        <x:v>Q25</x:v>
      </x:c>
      <x:c r="B28" s="17" t="str">
        <x:v>Capital investido na frota</x:v>
      </x:c>
      <x:c r="C28" s="32" t="n">
        <x:v>7500000000</x:v>
      </x:c>
      <x:c r="D28" s="17" t="str">
        <x:v>BRL</x:v>
      </x:c>
      <x:c r="E28" s="17" t="str">
        <x:v>Dado de contexto</x:v>
      </x:c>
      <x:c r="F28" s="17" t="str">
        <x:v>2026</x:v>
      </x:c>
      <x:c r="G28" s="17" t="str">
        <x:v>Localiza Assinatura</x:v>
      </x:c>
      <x:c r="H28" s="17" t="str">
        <x:v>aprox.</x:v>
      </x:c>
      <x:c r="I28" s="17" t="str">
        <x:v>Case Localiza Assinatura, slide de contexto</x:v>
      </x:c>
      <x:c r="J28" s="17" t="str">
        <x:v>Confirmado</x:v>
      </x:c>
      <x:c r="K28" s="16"/>
      <x:c r="L28" s="16"/>
      <x:c r="M28" s="16"/>
      <x:c r="N28" s="16"/>
    </x:row>
    <x:row r="29">
      <x:c r="A29" s="17" t="str">
        <x:v>Q26</x:v>
      </x:c>
      <x:c r="B29" s="17" t="str">
        <x:v>Pessoas suportando a operação</x:v>
      </x:c>
      <x:c r="C29" s="32" t="n">
        <x:v>630</x:v>
      </x:c>
      <x:c r="D29" s="17" t="str">
        <x:v>pessoas</x:v>
      </x:c>
      <x:c r="E29" s="17" t="str">
        <x:v>Dado de contexto</x:v>
      </x:c>
      <x:c r="F29" s="17" t="str">
        <x:v>2026</x:v>
      </x:c>
      <x:c r="G29" s="17" t="str">
        <x:v>Localiza Assinatura</x:v>
      </x:c>
      <x:c r="H29" s="17" t="str">
        <x:v>aprox.</x:v>
      </x:c>
      <x:c r="I29" s="17" t="str">
        <x:v>Case Localiza Assinatura, slide de contexto</x:v>
      </x:c>
      <x:c r="J29" s="17" t="str">
        <x:v>Confirmado</x:v>
      </x:c>
      <x:c r="K29" s="16"/>
      <x:c r="L29" s="16"/>
      <x:c r="M29" s="16"/>
      <x:c r="N29" s="16"/>
    </x:row>
    <x:row r="30">
      <x:c r="A30" s="17" t="str">
        <x:v>Q27</x:v>
      </x:c>
      <x:c r="B30" s="17" t="str">
        <x:v>NPS do produto Assinatura</x:v>
      </x:c>
      <x:c r="C30" s="32" t="n">
        <x:v>85</x:v>
      </x:c>
      <x:c r="D30" s="17" t="str">
        <x:v>NPS</x:v>
      </x:c>
      <x:c r="E30" s="17" t="str">
        <x:v>Dado de contexto</x:v>
      </x:c>
      <x:c r="F30" s="17" t="str">
        <x:v>2026</x:v>
      </x:c>
      <x:c r="G30" s="17" t="str">
        <x:v>clientes Assinatura</x:v>
      </x:c>
      <x:c r="H30" s="17" t="str">
        <x:v>produto, não app</x:v>
      </x:c>
      <x:c r="I30" s="17" t="str">
        <x:v>Case Localiza Assinatura, slide de contexto</x:v>
      </x:c>
      <x:c r="J30" s="17" t="str">
        <x:v>Confirmado</x:v>
      </x:c>
      <x:c r="K30" s="16"/>
      <x:c r="L30" s="16"/>
      <x:c r="M30" s="16"/>
      <x:c r="N30" s="16"/>
    </x:row>
    <x:row r="31">
      <x:c r="A31" s="17" t="str">
        <x:v>Q28</x:v>
      </x:c>
      <x:c r="B31" s="17" t="str">
        <x:v>Nível de serviço célula Platinum</x:v>
      </x:c>
      <x:c r="C31" s="32" t="n">
        <x:v>0.97</x:v>
      </x:c>
      <x:c r="D31" s="17" t="str">
        <x:v>%</x:v>
      </x:c>
      <x:c r="E31" s="17" t="str">
        <x:v>Dado de contexto</x:v>
      </x:c>
      <x:c r="F31" s="17" t="str">
        <x:v>2026</x:v>
      </x:c>
      <x:c r="G31" s="17" t="str">
        <x:v>célula Platinum</x:v>
      </x:c>
      <x:c r="H31" s="17" t="str">
        <x:v>aprox.</x:v>
      </x:c>
      <x:c r="I31" s="17" t="str">
        <x:v>Case Localiza Assinatura, slide de contexto</x:v>
      </x:c>
      <x:c r="J31" s="17" t="str">
        <x:v>Confirmado</x:v>
      </x:c>
      <x:c r="K31" s="16"/>
      <x:c r="L31" s="16"/>
      <x:c r="M31" s="16"/>
      <x:c r="N31" s="16"/>
    </x:row>
    <x:row r="32">
      <x:c r="A32" s="17" t="str">
        <x:v>Q29</x:v>
      </x:c>
      <x:c r="B32" s="17" t="str">
        <x:v>Prazo de assinatura</x:v>
      </x:c>
      <x:c r="C32" s="32"/>
      <x:c r="D32" s="17" t="str">
        <x:v>meses</x:v>
      </x:c>
      <x:c r="E32" s="17" t="str">
        <x:v>Dado de contexto</x:v>
      </x:c>
      <x:c r="F32" s="17" t="str">
        <x:v>2026</x:v>
      </x:c>
      <x:c r="G32" s="17" t="str">
        <x:v>contratos</x:v>
      </x:c>
      <x:c r="H32" s="17" t="str">
        <x:v>12, 24, 36 ou 48</x:v>
      </x:c>
      <x:c r="I32" s="17" t="str">
        <x:v>Case Localiza Assinatura, slide de contexto</x:v>
      </x:c>
      <x:c r="J32" s="17" t="str">
        <x:v>Confirmado</x:v>
      </x:c>
      <x:c r="K32" s="16"/>
      <x:c r="L32" s="16"/>
      <x:c r="M32" s="16"/>
      <x:c r="N32" s="16"/>
    </x:row>
    <x:row r="33">
      <x:c r="A33" s="17" t="str">
        <x:v>Q30</x:v>
      </x:c>
      <x:c r="B33" s="17" t="str">
        <x:v>Franquia mensal de KM</x:v>
      </x:c>
      <x:c r="C33" s="32"/>
      <x:c r="D33" s="17" t="str">
        <x:v>km/mês</x:v>
      </x:c>
      <x:c r="E33" s="17" t="str">
        <x:v>Dado de contexto</x:v>
      </x:c>
      <x:c r="F33" s="17" t="str">
        <x:v>2026</x:v>
      </x:c>
      <x:c r="G33" s="17" t="str">
        <x:v>contratos</x:v>
      </x:c>
      <x:c r="H33" s="17" t="str">
        <x:v>1.000, 1.500, 2.000, 2.500 ou 3.000 km</x:v>
      </x:c>
      <x:c r="I33" s="17" t="str">
        <x:v>Case Localiza Assinatura, slide de contexto</x:v>
      </x:c>
      <x:c r="J33" s="17" t="str">
        <x:v>Confirmado</x:v>
      </x:c>
      <x:c r="K33" s="16"/>
      <x:c r="L33" s="16"/>
      <x:c r="M33" s="16"/>
      <x:c r="N33" s="16"/>
    </x:row>
    <x:row r="34">
      <x:c r="A34" s="16"/>
      <x:c r="B34" s="16"/>
      <x:c r="C34" s="16"/>
      <x:c r="D34" s="16"/>
      <x:c r="E34" s="16"/>
      <x:c r="F34" s="16"/>
      <x:c r="G34" s="16"/>
      <x:c r="H34" s="16"/>
      <x:c r="I34" s="16"/>
      <x:c r="J34" s="16"/>
      <x:c r="K34" s="16"/>
      <x:c r="L34" s="16"/>
      <x:c r="M34" s="16"/>
      <x:c r="N34" s="16"/>
    </x:row>
    <x:row r="35">
      <x:c r="A35" s="16"/>
      <x:c r="B35" s="16"/>
      <x:c r="C35" s="16"/>
      <x:c r="D35" s="16"/>
      <x:c r="E35" s="16"/>
      <x:c r="F35" s="16"/>
      <x:c r="G35" s="16"/>
      <x:c r="H35" s="16"/>
      <x:c r="I35" s="16"/>
      <x:c r="J35" s="16"/>
      <x:c r="K35" s="16"/>
      <x:c r="L35" s="16"/>
      <x:c r="M35" s="16"/>
      <x:c r="N35" s="16"/>
    </x:row>
  </x:sheetData>
  <x:mergeCells>
    <x:mergeCell ref="A1:J1"/>
  </x:mergeCells>
  <x:pageMargins left="0.7" right="0.7" top="0.75" bottom="0.75" header="0.3" footer="0.3"/>
  <x:tableParts count="1">
    <x:tablePart xmlns:r="http://schemas.openxmlformats.org/officeDocument/2006/relationships" r:id="R2aba8b12997b4d20"/>
  </x:tableParts>
</x:worksheet>
</file>

<file path=xl/worksheets/sheet3.xml><?xml version="1.0" encoding="utf-8"?>
<x:worksheet xmlns:x="http://schemas.openxmlformats.org/spreadsheetml/2006/main">
  <x:sheetFormatPr defaultRowHeight="15"/>
  <x:cols>
    <x:col min="1" max="1" width="22" hidden="0" customWidth="1"/>
    <x:col min="2" max="2" width="42" hidden="0" customWidth="1"/>
    <x:col min="3" max="3" width="22" hidden="0" customWidth="1"/>
    <x:col min="4" max="4" width="34" hidden="0" customWidth="1"/>
    <x:col min="5" max="5" width="36" hidden="0" customWidth="1"/>
    <x:col min="6" max="6" width="36" hidden="0" customWidth="1"/>
    <x:col min="7" max="7" width="28" hidden="0" customWidth="1"/>
  </x:cols>
  <x:sheetData>
    <x:row r="1" ht="28" customHeight="1">
      <x:c r="A1" s="5" t="str">
        <x:v>App Localiza Assinatura — Estado atual e oportunidades</x:v>
      </x:c>
    </x:row>
    <x:row r="3">
      <x:c r="A3" s="24" t="str">
        <x:v>Área</x:v>
      </x:c>
      <x:c r="B3" s="24" t="str">
        <x:v>Capacidade atual</x:v>
      </x:c>
      <x:c r="C3" s="24" t="str">
        <x:v>Fonte/Tipo</x:v>
      </x:c>
      <x:c r="D3" s="24" t="str">
        <x:v>Valor para o cliente hoje</x:v>
      </x:c>
      <x:c r="E3" s="24" t="str">
        <x:v>Limitação observada no case</x:v>
      </x:c>
      <x:c r="F3" s="24" t="str">
        <x:v>Oportunidade de evolução</x:v>
      </x:c>
      <x:c r="G3" s="24" t="str">
        <x:v>Hipótese/Nota</x:v>
      </x:c>
    </x:row>
    <x:row r="4">
      <x:c r="A4" s="17" t="str">
        <x:v>Conta/Assinatura</x:v>
      </x:c>
      <x:c r="B4" s="17" t="str">
        <x:v>Acompanhamento do pedido, informações da assinatura, contrato, documentos/CRLV</x:v>
      </x:c>
      <x:c r="C4" s="17" t="str">
        <x:v>Dado atual do produto</x:v>
      </x:c>
      <x:c r="D4" s="17" t="str">
        <x:v>Controle da assinatura</x:v>
      </x:c>
      <x:c r="E4" s="17" t="str">
        <x:v>Valor concentrado em necessidades específicas</x:v>
      </x:c>
      <x:c r="F4" s="17" t="str">
        <x:v>Transformar informações em contexto e próximos passos</x:v>
      </x:c>
      <x:c r="G4" s="17" t="str">
        <x:v>Usar somente dados confirmados</x:v>
      </x:c>
    </x:row>
    <x:row r="5">
      <x:c r="A5" s="17" t="str">
        <x:v>Financeiro</x:v>
      </x:c>
      <x:c r="B5" s="17" t="str">
        <x:v>Faturas, valores, vencimentos, histórico e pagamento/cartão</x:v>
      </x:c>
      <x:c r="C5" s="17" t="str">
        <x:v>Dado atual do produto</x:v>
      </x:c>
      <x:c r="D5" s="17" t="str">
        <x:v>Resolver obrigações financeiras</x:v>
      </x:c>
      <x:c r="E5" s="17" t="str">
        <x:v>Retorno pontual</x:v>
      </x:c>
      <x:c r="F5" s="17" t="str">
        <x:v>Antecipar vencimentos e orientar ações relevantes</x:v>
      </x:c>
      <x:c r="G5" s="17" t="str"/>
    </x:row>
    <x:row r="6">
      <x:c r="A6" s="17" t="str">
        <x:v>Quilometragem</x:v>
      </x:c>
      <x:c r="B6" s="17" t="str">
        <x:v>Acompanhamento de KM e alertas de limite</x:v>
      </x:c>
      <x:c r="C6" s="17" t="str">
        <x:v>Dado atual do produto</x:v>
      </x:c>
      <x:c r="D6" s="17" t="str">
        <x:v>Controle do uso do plano</x:v>
      </x:c>
      <x:c r="E6" s="17" t="str">
        <x:v>Pode ser consultado apenas quando há necessidade</x:v>
      </x:c>
      <x:c r="F6" s="17" t="str">
        <x:v>Contextualizar uso e próximos eventos</x:v>
      </x:c>
      <x:c r="G6" s="17" t="str"/>
    </x:row>
    <x:row r="7">
      <x:c r="A7" s="17" t="str">
        <x:v>Manutenção</x:v>
      </x:c>
      <x:c r="B7" s="17" t="str">
        <x:v>Agendamento de revisão, preventiva/corretiva, acompanhamento</x:v>
      </x:c>
      <x:c r="C7" s="17" t="str">
        <x:v>Dado atual do produto</x:v>
      </x:c>
      <x:c r="D7" s="17" t="str">
        <x:v>Resolver manutenção</x:v>
      </x:c>
      <x:c r="E7" s="17" t="str">
        <x:v>Relacionamento reativo</x:v>
      </x:c>
      <x:c r="F7" s="17" t="str">
        <x:v>Proactive Care</x:v>
      </x:c>
      <x:c r="G7" s="17" t="str"/>
    </x:row>
    <x:row r="8">
      <x:c r="A8" s="17" t="str">
        <x:v>Multas</x:v>
      </x:c>
      <x:c r="B8" s="17" t="str">
        <x:v>Consulta, acompanhamento e indicação de condutor</x:v>
      </x:c>
      <x:c r="C8" s="17" t="str">
        <x:v>Dado atual do produto</x:v>
      </x:c>
      <x:c r="D8" s="17" t="str">
        <x:v>Resolver pendências</x:v>
      </x:c>
      <x:c r="E8" s="17" t="str">
        <x:v>Uso pontual</x:v>
      </x:c>
      <x:c r="F8" s="17" t="str">
        <x:v>Antecipar prazos e ações</x:v>
      </x:c>
      <x:c r="G8" s="17" t="str"/>
    </x:row>
    <x:row r="9">
      <x:c r="A9" s="17" t="str">
        <x:v>Telemetria/localização</x:v>
      </x:c>
      <x:c r="B9" s="17" t="str">
        <x:v>Localização em tempo real, alertas de movimentação/carro ligado, combustível/bateria</x:v>
      </x:c>
      <x:c r="C9" s="17" t="str">
        <x:v>Dado do material / produto</x:v>
      </x:c>
      <x:c r="D9" s="17" t="str">
        <x:v>Informação operacional</x:v>
      </x:c>
      <x:c r="E9" s="17" t="str">
        <x:v>Potencial de personalização depende de permissões</x:v>
      </x:c>
      <x:c r="F9" s="17" t="str">
        <x:v>Context Engine</x:v>
      </x:c>
      <x:c r="G9" s="17" t="str">
        <x:v>Localização depende de consentimento</x:v>
      </x:c>
    </x:row>
    <x:row r="10">
      <x:c r="A10" s="17" t="str">
        <x:v>Benefícios</x:v>
      </x:c>
      <x:c r="B10" s="17" t="str">
        <x:v>Clube, descontos, parceiros, experiências e serviços</x:v>
      </x:c>
      <x:c r="C10" s="17" t="str">
        <x:v>Dado atual do produto</x:v>
      </x:c>
      <x:c r="D10" s="17" t="str">
        <x:v>Acesso a benefícios</x:v>
      </x:c>
      <x:c r="E10" s="17" t="str">
        <x:v>Benefícios nem sempre conectados ao contexto</x:v>
      </x:c>
      <x:c r="F10" s="17" t="str">
        <x:v>Benefícios contextuais</x:v>
      </x:c>
      <x:c r="G10" s="17" t="str"/>
    </x:row>
    <x:row r="11">
      <x:c r="A11" s="17" t="str">
        <x:v>Indicação</x:v>
      </x:c>
      <x:c r="B11" s="17" t="str">
        <x:v>Member Get Member, acompanhamento e benefícios</x:v>
      </x:c>
      <x:c r="C11" s="17" t="str">
        <x:v>Dado atual do produto</x:v>
      </x:c>
      <x:c r="D11" s="17" t="str">
        <x:v>Incentivo a indicar</x:v>
      </x:c>
      <x:c r="E11" s="17" t="str">
        <x:v>Uso pontual</x:v>
      </x:c>
      <x:c r="F11" s="17" t="str">
        <x:v>Conectar a momentos de satisfação</x:v>
      </x:c>
      <x:c r="G11" s="17" t="str"/>
    </x:row>
    <x:row r="12">
      <x:c r="A12" s="17" t="str">
        <x:v>Suporte</x:v>
      </x:c>
      <x:c r="B12" s="17" t="str">
        <x:v>Ajuda, canais, assistência, emergências, danos</x:v>
      </x:c>
      <x:c r="C12" s="17" t="str">
        <x:v>Dado atual do produto</x:v>
      </x:c>
      <x:c r="D12" s="17" t="str">
        <x:v>Resolução de problemas</x:v>
      </x:c>
      <x:c r="E12" s="17" t="str">
        <x:v>Mais de 80k contatos mensais</x:v>
      </x:c>
      <x:c r="F12" s="17" t="str">
        <x:v>Resolver preventivamente casos elegíveis</x:v>
      </x:c>
      <x:c r="G12" s="17" t="str"/>
    </x:row>
    <x:row r="13">
      <x:c r="A13" s="17" t="str">
        <x:v>Notificações</x:v>
      </x:c>
      <x:c r="B13" s="17" t="str">
        <x:v>Novidades, promoções, retirada, proximidade de revisão</x:v>
      </x:c>
      <x:c r="C13" s="17" t="str">
        <x:v>Dado atual do produto</x:v>
      </x:c>
      <x:c r="D13" s="17" t="str">
        <x:v>Alertas</x:v>
      </x:c>
      <x:c r="E13" s="17" t="str">
        <x:v>Risco de excesso e baixa relevância</x:v>
      </x:c>
      <x:c r="F13" s="17" t="str">
        <x:v>Relevância contextual + frequência controlada</x:v>
      </x:c>
      <x:c r="G13" s="17" t="str"/>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42" hidden="0" customWidth="1"/>
    <x:col min="5" max="5" width="32" hidden="0" customWidth="1"/>
    <x:col min="6" max="6" width="38" hidden="0" customWidth="1"/>
    <x:col min="7" max="7" width="32" hidden="0" customWidth="1"/>
    <x:col min="8" max="8" width="34" hidden="0" customWidth="1"/>
  </x:cols>
  <x:sheetData>
    <x:row r="1" ht="28" customHeight="1">
      <x:c r="A1" s="5" t="str">
        <x:v>Dores, evidências, inferências e oportunidades — Case 2</x:v>
      </x:c>
    </x:row>
    <x:row r="3">
      <x:c r="A3" s="24" t="str">
        <x:v>ID</x:v>
      </x:c>
      <x:c r="B3" s="24" t="str">
        <x:v>Tipo</x:v>
      </x:c>
      <x:c r="C3" s="24" t="str">
        <x:v>Problema/Dor</x:v>
      </x:c>
      <x:c r="D3" s="24" t="str">
        <x:v>Evidência</x:v>
      </x:c>
      <x:c r="E3" s="24" t="str">
        <x:v>Impacto potencial</x:v>
      </x:c>
      <x:c r="F3" s="24" t="str">
        <x:v>Implicação para solução</x:v>
      </x:c>
      <x:c r="G3" s="24" t="str">
        <x:v>Risco de interpretação</x:v>
      </x:c>
      <x:c r="H3" s="24" t="str">
        <x:v>Fonte</x:v>
      </x:c>
    </x:row>
    <x:row r="4">
      <x:c r="A4" s="17" t="str">
        <x:v>P01</x:v>
      </x:c>
      <x:c r="B4" s="17" t="str">
        <x:v>DADO DO CASE</x:v>
      </x:c>
      <x:c r="C4" s="17" t="str">
        <x:v>Pouco valor fora das necessidades contratuais</x:v>
      </x:c>
      <x:c r="D4" s="17" t="str">
        <x:v>App é usado principalmente para necessidades pontuais</x:v>
      </x:c>
      <x:c r="E4" s="17" t="str">
        <x:v>Poucos motivos para retornar</x:v>
      </x:c>
      <x:c r="F4" s="17" t="str">
        <x:v>Criar utilidade fora de eventos contratuais</x:v>
      </x:c>
      <x:c r="G4" s="17" t="str">
        <x:v>Não significa que o app é ruim</x:v>
      </x:c>
      <x:c r="H4" s="17" t="str">
        <x:v>Case 2 PDF / dossiê §5</x:v>
      </x:c>
    </x:row>
    <x:row r="5">
      <x:c r="A5" s="17" t="str">
        <x:v>P02</x:v>
      </x:c>
      <x:c r="B5" s="17" t="str">
        <x:v>DADO DO CASE</x:v>
      </x:c>
      <x:c r="C5" s="17" t="str">
        <x:v>Benefícios/serviços nem sempre conectados ao contexto</x:v>
      </x:c>
      <x:c r="D5" s="17" t="str">
        <x:v>Dores apresentadas no case</x:v>
      </x:c>
      <x:c r="E5" s="17" t="str">
        <x:v>Menor relevância</x:v>
      </x:c>
      <x:c r="F5" s="17" t="str">
        <x:v>Personalização contextual</x:v>
      </x:c>
      <x:c r="G5" s="17" t="str">
        <x:v>Precisamos validar quais dados estão disponíveis</x:v>
      </x:c>
      <x:c r="H5" s="17" t="str">
        <x:v>Case 2 PDF / dossiê §5</x:v>
      </x:c>
    </x:row>
    <x:row r="6">
      <x:c r="A6" s="17" t="str">
        <x:v>P03</x:v>
      </x:c>
      <x:c r="B6" s="17" t="str">
        <x:v>DADO DO CASE</x:v>
      </x:c>
      <x:c r="C6" s="17" t="str">
        <x:v>Poucas experiências exclusivas</x:v>
      </x:c>
      <x:c r="D6" s="17" t="str">
        <x:v>Case aponta oportunidade</x:v>
      </x:c>
      <x:c r="E6" s="17" t="str">
        <x:v>Baixa diferenciação percebida</x:v>
      </x:c>
      <x:c r="F6" s="17" t="str">
        <x:v>Explorar ecossistema Localiza</x:v>
      </x:c>
      <x:c r="G6" s="17" t="str">
        <x:v>Não criar funcionalidades genéricas</x:v>
      </x:c>
      <x:c r="H6" s="17" t="str">
        <x:v>Case 2 PDF / dossiê §5</x:v>
      </x:c>
    </x:row>
    <x:row r="7">
      <x:c r="A7" s="17" t="str">
        <x:v>P04</x:v>
      </x:c>
      <x:c r="B7" s="17" t="str">
        <x:v>DADO DO CASE</x:v>
      </x:c>
      <x:c r="C7" s="17" t="str">
        <x:v>Falta de motivos recorrentes</x:v>
      </x:c>
      <x:c r="D7" s="17" t="str">
        <x:v>Rotina de mobilidade é frequente</x:v>
      </x:c>
      <x:c r="E7" s="17" t="str">
        <x:v>Relação digital reativa</x:v>
      </x:c>
      <x:c r="F7" s="17" t="str">
        <x:v>Criar recorrência baseada em utilidade</x:v>
      </x:c>
      <x:c r="G7" s="17" t="str">
        <x:v>Evitar gamificação artificial</x:v>
      </x:c>
      <x:c r="H7" s="17" t="str">
        <x:v>Case 2 PDF / dossiê §5</x:v>
      </x:c>
    </x:row>
    <x:row r="8">
      <x:c r="A8" s="17" t="str">
        <x:v>P05</x:v>
      </x:c>
      <x:c r="B8" s="17" t="str">
        <x:v>DADO DO CASE</x:v>
      </x:c>
      <x:c r="C8" s="17" t="str">
        <x:v>Baixo engajamento enfraquece conexão com a marca</x:v>
      </x:c>
      <x:c r="D8" s="17" t="str">
        <x:v>NPS app alto vs relacional ~45</x:v>
      </x:c>
      <x:c r="E8" s="17" t="str">
        <x:v>Gap de relacionamento</x:v>
      </x:c>
      <x:c r="F8" s="17" t="str">
        <x:v>Usar app para percepção de valor</x:v>
      </x:c>
      <x:c r="G8" s="17" t="str">
        <x:v>Não inferir causalidade com renovação</x:v>
      </x:c>
      <x:c r="H8" s="17" t="str">
        <x:v>Case 2 PDF / dossiê §6</x:v>
      </x:c>
    </x:row>
    <x:row r="9">
      <x:c r="A9" s="17" t="str">
        <x:v>P06</x:v>
      </x:c>
      <x:c r="B9" s="17" t="str">
        <x:v>DADO DO CASE</x:v>
      </x:c>
      <x:c r="C9" s="17" t="str">
        <x:v>Atendimento humano sobrecarregado</x:v>
      </x:c>
      <x:c r="D9" s="17" t="str">
        <x:v>&gt;80k contatos/mês; 75% chat, 25% telefone</x:v>
      </x:c>
      <x:c r="E9" s="17" t="str">
        <x:v>Custo/atrito operacional</x:v>
      </x:c>
      <x:c r="F9" s="17" t="str">
        <x:v>Resolver digitalmente demandas elegíveis</x:v>
      </x:c>
      <x:c r="G9" s="17" t="str">
        <x:v>Nem todo contato é automatizável</x:v>
      </x:c>
      <x:c r="H9" s="17" t="str">
        <x:v>Case 2 PDF / dossiê §6</x:v>
      </x:c>
    </x:row>
    <x:row r="10">
      <x:c r="A10" s="17" t="str">
        <x:v>P07</x:v>
      </x:c>
      <x:c r="B10" s="17" t="str">
        <x:v>DADO DO CASE</x:v>
      </x:c>
      <x:c r="C10" s="17" t="str">
        <x:v>Renovação é ~48%</x:v>
      </x:c>
      <x:c r="D10" s="17" t="str">
        <x:v>Dado do case</x:v>
      </x:c>
      <x:c r="E10" s="17" t="str">
        <x:v>Oportunidade de relacionamento</x:v>
      </x:c>
      <x:c r="F10" s="17" t="str">
        <x:v>Criar experiências que reforcem valor</x:v>
      </x:c>
      <x:c r="G10" s="17" t="str">
        <x:v>Não afirmar que app causa renovação</x:v>
      </x:c>
      <x:c r="H10" s="17" t="str">
        <x:v>Case 2 PDF / dossiê §6</x:v>
      </x:c>
    </x:row>
    <x:row r="11">
      <x:c r="A11" s="17" t="str">
        <x:v>P08</x:v>
      </x:c>
      <x:c r="B11" s="17" t="str">
        <x:v>DADO DO CASE</x:v>
      </x:c>
      <x:c r="C11" s="17" t="str">
        <x:v>Indicação é ~7%</x:v>
      </x:c>
      <x:c r="D11" s="17" t="str">
        <x:v>Dado do case</x:v>
      </x:c>
      <x:c r="E11" s="17" t="str">
        <x:v>Oportunidade de advocacy</x:v>
      </x:c>
      <x:c r="F11" s="17" t="str">
        <x:v>Conectar satisfação com indicação</x:v>
      </x:c>
      <x:c r="G11" s="17" t="str">
        <x:v>Não pressupor causalidade</x:v>
      </x:c>
      <x:c r="H11" s="17" t="str">
        <x:v>Case 2 PDF / dossiê §6</x:v>
      </x:c>
    </x:row>
    <x:row r="12">
      <x:c r="A12" s="17" t="str">
        <x:v>I01</x:v>
      </x:c>
      <x:c r="B12" s="17" t="str">
        <x:v>INFERÊNCIA</x:v>
      </x:c>
      <x:c r="C12" s="17" t="str">
        <x:v>App é valorizado quando necessário, mas não necessariamente como relacionamento contínuo</x:v>
      </x:c>
      <x:c r="D12" s="17" t="str">
        <x:v>App NPS 84 vs relacional ~45</x:v>
      </x:c>
      <x:c r="E12" s="17" t="str">
        <x:v>Gap entre utilidade pontual e relacionamento</x:v>
      </x:c>
      <x:c r="F12" s="17" t="str">
        <x:v>Mudar lógica de reativa para contextual</x:v>
      </x:c>
      <x:c r="G12" s="17" t="str">
        <x:v>Inferência baseada no case</x:v>
      </x:c>
      <x:c r="H12" s="17" t="str">
        <x:v>Dossiê §4.3</x:v>
      </x:c>
    </x:row>
    <x:row r="13">
      <x:c r="A13" s="17" t="str">
        <x:v>I02</x:v>
      </x:c>
      <x:c r="B13" s="17" t="str">
        <x:v>HIPÓTESE</x:v>
      </x:c>
      <x:c r="C13" s="17" t="str">
        <x:v>Ecossistema Localiza pode fornecer contexto suficiente para antecipar necessidades</x:v>
      </x:c>
      <x:c r="D13" s="17" t="str">
        <x:v>Contrato + carro + KM + manutenção + benefícios</x:v>
      </x:c>
      <x:c r="E13" s="17" t="str">
        <x:v>Diferenciação frente a apps genéricos</x:v>
      </x:c>
      <x:c r="F13" s="17" t="str">
        <x:v>Construir Context Engine</x:v>
      </x:c>
      <x:c r="G13" s="17" t="str">
        <x:v>Validar disponibilidade e consentimento</x:v>
      </x:c>
      <x:c r="H13" s="17" t="str">
        <x:v>Dossiê §36</x:v>
      </x:c>
    </x:row>
    <x:row r="14">
      <x:c r="A14" s="17" t="str">
        <x:v>I03</x:v>
      </x:c>
      <x:c r="B14" s="17" t="str">
        <x:v>HIPÓTESE</x:v>
      </x:c>
      <x:c r="C14" s="17" t="str">
        <x:v>Relevância digital pode fortalecer percepção de valor</x:v>
      </x:c>
      <x:c r="D14" s="17" t="str">
        <x:v>Case fala em fortalecer relação e percepção</x:v>
      </x:c>
      <x:c r="E14" s="17" t="str">
        <x:v>Potencial de negócio</x:v>
      </x:c>
      <x:c r="F14" s="17" t="str">
        <x:v>Medir percepção de valor e resolução digital</x:v>
      </x:c>
      <x:c r="G14" s="17" t="str">
        <x:v>Causalidade com renovação precisa ser validada</x:v>
      </x:c>
      <x:c r="H14" s="17" t="str">
        <x:v>Dossiê §38</x:v>
      </x:c>
    </x:row>
    <x:row r="15">
      <x:c r="A15" s="17" t="str">
        <x:v>I04</x:v>
      </x:c>
      <x:c r="B15" s="17" t="str">
        <x:v>PROPOSTA</x:v>
      </x:c>
      <x:c r="C15" s="17" t="str">
        <x:v>Contexto → antecipação → ação</x:v>
      </x:c>
      <x:c r="D15" s="17" t="str">
        <x:v>Combina dores e capacidades atuais</x:v>
      </x:c>
      <x:c r="E15" s="17" t="str">
        <x:v>Maior utilidade por interação</x:v>
      </x:c>
      <x:c r="F15" s="17" t="str">
        <x:v>Proactive Care + Mobility Home</x:v>
      </x:c>
      <x:c r="G15" s="17" t="str">
        <x:v>Evitar virar feed de notificações</x:v>
      </x:c>
      <x:c r="H15" s="17" t="str">
        <x:v>Dossiê §12/17</x:v>
      </x:c>
    </x:row>
    <x:row r="16">
      <x:c r="A16" s="16"/>
      <x:c r="B16" s="16"/>
      <x:c r="C16" s="16"/>
      <x:c r="D16" s="16"/>
      <x:c r="E16" s="16"/>
      <x:c r="F16" s="16"/>
      <x:c r="G16" s="16"/>
      <x:c r="H16" s="16"/>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40" hidden="0" customWidth="1"/>
    <x:col min="4" max="4" width="34" hidden="0" customWidth="1"/>
    <x:col min="5" max="5" width="32" hidden="0" customWidth="1"/>
    <x:col min="6" max="6" width="28" hidden="0" customWidth="1"/>
    <x:col min="7" max="7" width="22" hidden="0" customWidth="1"/>
    <x:col min="8" max="8" width="34" hidden="0" customWidth="1"/>
    <x:col min="9" max="9" width="30" hidden="0" customWidth="1"/>
    <x:col min="10" max="10" width="30" hidden="0" customWidth="1"/>
  </x:cols>
  <x:sheetData>
    <x:row r="1" ht="28" customHeight="1">
      <x:c r="A1" s="5" t="str">
        <x:v>Banco de ideias — Case 2</x:v>
      </x:c>
    </x:row>
    <x:row r="3">
      <x:c r="A3" s="24" t="str">
        <x:v>ID</x:v>
      </x:c>
      <x:c r="B3" s="24" t="str">
        <x:v>Ideia</x:v>
      </x:c>
      <x:c r="C3" s="24" t="str">
        <x:v>Conceito</x:v>
      </x:c>
      <x:c r="D3" s="24" t="str">
        <x:v>Problema atacado</x:v>
      </x:c>
      <x:c r="E3" s="24" t="str">
        <x:v>Dados necessários</x:v>
      </x:c>
      <x:c r="F3" s="24" t="str">
        <x:v>Tecnologia</x:v>
      </x:c>
      <x:c r="G3" s="24" t="str">
        <x:v>IA</x:v>
      </x:c>
      <x:c r="H3" s="24" t="str">
        <x:v>MVP conceitual</x:v>
      </x:c>
      <x:c r="I3" s="24" t="str">
        <x:v>Risco</x:v>
      </x:c>
      <x:c r="J3" s="24" t="str">
        <x:v>Mitigação</x:v>
      </x:c>
    </x:row>
    <x:row r="4">
      <x:c r="A4" s="17" t="str">
        <x:v>I01</x:v>
      </x:c>
      <x:c r="B4" s="17" t="str">
        <x:v>Mobility Home</x:v>
      </x:c>
      <x:c r="C4" s="17" t="str">
        <x:v>Home dinâmica que responde 'o que é importante para você agora?'</x:v>
      </x:c>
      <x:c r="D4" s="17" t="str">
        <x:v>Home operacional e pouco contextual</x:v>
      </x:c>
      <x:c r="E4" s="17" t="str">
        <x:v>Contrato; KM; manutenção; preferências; possivelmente localização</x:v>
      </x:c>
      <x:c r="F4" s="17" t="str">
        <x:v>Context engine + regras</x:v>
      </x:c>
      <x:c r="G4" s="17" t="str">
        <x:v>Priorizar conteúdo</x:v>
      </x:c>
      <x:c r="H4" s="17" t="str">
        <x:v>Wireframe de Home atual vs futura</x:v>
      </x:c>
      <x:c r="I4" s="17" t="str">
        <x:v>Virar dashboard bonito</x:v>
      </x:c>
      <x:c r="J4" s="17" t="str">
        <x:v>Toda informação precisa levar a ação/valor</x:v>
      </x:c>
    </x:row>
    <x:row r="5">
      <x:c r="A5" s="17" t="str">
        <x:v>I02</x:v>
      </x:c>
      <x:c r="B5" s="17" t="str">
        <x:v>Proactive Care</x:v>
      </x:c>
      <x:c r="C5" s="17" t="str">
        <x:v>Antecipar necessidades antes do cliente procurar</x:v>
      </x:c>
      <x:c r="D5" s="17" t="str">
        <x:v>Relação reativa</x:v>
      </x:c>
      <x:c r="E5" s="17" t="str">
        <x:v>KM; manutenção; contrato; fatura; multas</x:v>
      </x:c>
      <x:c r="F5" s="17" t="str">
        <x:v>Event engine + regras</x:v>
      </x:c>
      <x:c r="G5" s="17" t="str">
        <x:v>Classificar urgência/relevância/momento</x:v>
      </x:c>
      <x:c r="H5" s="17" t="str">
        <x:v>Storyboard de 3 notificações úteis</x:v>
      </x:c>
      <x:c r="I5" s="17" t="str">
        <x:v>Spam</x:v>
      </x:c>
      <x:c r="J5" s="17" t="str">
        <x:v>Limite de frequência + relevância</x:v>
      </x:c>
    </x:row>
    <x:row r="6">
      <x:c r="A6" s="17" t="str">
        <x:v>I03</x:v>
      </x:c>
      <x:c r="B6" s="17" t="str">
        <x:v>Mobility Planner</x:v>
      </x:c>
      <x:c r="C6" s="17" t="str">
        <x:v>Ajudar cliente a planejar uma viagem</x:v>
      </x:c>
      <x:c r="D6" s="17" t="str">
        <x:v>Rotina fragmentada</x:v>
      </x:c>
      <x:c r="E6" s="17" t="str">
        <x:v>KM; manutenção; documentos; benefícios; contexto externo</x:v>
      </x:c>
      <x:c r="F6" s="17" t="str">
        <x:v>Integrações</x:v>
      </x:c>
      <x:c r="G6" s="17" t="str">
        <x:v>Personalizar plano</x:v>
      </x:c>
      <x:c r="H6" s="17" t="str">
        <x:v>Fluxo de planejamento</x:v>
      </x:c>
      <x:c r="I6" s="17" t="str">
        <x:v>Dependência de integrações</x:v>
      </x:c>
      <x:c r="J6" s="17" t="str">
        <x:v>MVP somente com dados internos</x:v>
      </x:c>
    </x:row>
    <x:row r="7">
      <x:c r="A7" s="17" t="str">
        <x:v>I04</x:v>
      </x:c>
      <x:c r="B7" s="17" t="str">
        <x:v>Benefícios Contextuais</x:v>
      </x:c>
      <x:c r="C7" s="17" t="str">
        <x:v>Mostrar benefícios relevantes ao momento</x:v>
      </x:c>
      <x:c r="D7" s="17" t="str">
        <x:v>Benefícios pouco conectados ao contexto</x:v>
      </x:c>
      <x:c r="E7" s="17" t="str">
        <x:v>Perfil; localização se permitido; benefícios</x:v>
      </x:c>
      <x:c r="F7" s="17" t="str">
        <x:v>Recommendation engine</x:v>
      </x:c>
      <x:c r="G7" s="17" t="str">
        <x:v>Recomendação</x:v>
      </x:c>
      <x:c r="H7" s="17" t="str">
        <x:v>Wireframe de benefícios personalizados</x:v>
      </x:c>
      <x:c r="I7" s="17" t="str">
        <x:v>Baixa relevância</x:v>
      </x:c>
      <x:c r="J7" s="17" t="str">
        <x:v>Começar por regras</x:v>
      </x:c>
    </x:row>
    <x:row r="8">
      <x:c r="A8" s="17" t="str">
        <x:v>I05</x:v>
      </x:c>
      <x:c r="B8" s="17" t="str">
        <x:v>Subscription Value</x:v>
      </x:c>
      <x:c r="C8" s="17" t="str">
        <x:v>Mostrar valor percebido dos serviços da assinatura</x:v>
      </x:c>
      <x:c r="D8" s="17" t="str">
        <x:v>Valor invisível</x:v>
      </x:c>
      <x:c r="E8" s="17" t="str">
        <x:v>Uso de serviços; manutenção; assistência; benefícios</x:v>
      </x:c>
      <x:c r="F8" s="17" t="str">
        <x:v>Analytics</x:v>
      </x:c>
      <x:c r="G8" s="17" t="str">
        <x:v>Opcional</x:v>
      </x:c>
      <x:c r="H8" s="17" t="str">
        <x:v>Tela de resumo de valor</x:v>
      </x:c>
      <x:c r="I8" s="17" t="str">
        <x:v>Inventar economia</x:v>
      </x:c>
      <x:c r="J8" s="17" t="str">
        <x:v>Usar apenas dados reais/simulação explícita</x:v>
      </x:c>
    </x:row>
    <x:row r="9">
      <x:c r="A9" s="17" t="str">
        <x:v>I06</x:v>
      </x:c>
      <x:c r="B9" s="17" t="str">
        <x:v>Mobility Missions</x:v>
      </x:c>
      <x:c r="C9" s="17" t="str">
        <x:v>Microexperiências recorrentes com valor</x:v>
      </x:c>
      <x:c r="D9" s="17" t="str">
        <x:v>Baixa recorrência</x:v>
      </x:c>
      <x:c r="E9" s="17" t="str">
        <x:v>Eventos do contrato e uso</x:v>
      </x:c>
      <x:c r="F9" s="17" t="str">
        <x:v>Gamificação leve</x:v>
      </x:c>
      <x:c r="G9" s="17" t="str">
        <x:v>Opcional</x:v>
      </x:c>
      <x:c r="H9" s="17" t="str">
        <x:v>Storyboard semanal</x:v>
      </x:c>
      <x:c r="I9" s="17" t="str">
        <x:v>Gamificação artificial</x:v>
      </x:c>
      <x:c r="J9" s="17" t="str">
        <x:v>Só usar quando houver benefício real</x:v>
      </x:c>
    </x:row>
    <x:row r="10">
      <x:c r="A10" s="17" t="str">
        <x:v>I07</x:v>
      </x:c>
      <x:c r="B10" s="17" t="str">
        <x:v>Renewal Companion</x:v>
      </x:c>
      <x:c r="C10" s="17" t="str">
        <x:v>Jornada contínua de renovação</x:v>
      </x:c>
      <x:c r="D10" s="17" t="str">
        <x:v>Relacionamento concentrado no fim</x:v>
      </x:c>
      <x:c r="E10" s="17" t="str">
        <x:v>Contrato; preferências; uso</x:v>
      </x:c>
      <x:c r="F10" s="17" t="str">
        <x:v>CRM/context engine</x:v>
      </x:c>
      <x:c r="G10" s="17" t="str">
        <x:v>Personalização</x:v>
      </x:c>
      <x:c r="H10" s="17" t="str">
        <x:v>Timeline 90/60/30 dias</x:v>
      </x:c>
      <x:c r="I10" s="17" t="str">
        <x:v>Parecer campanha de vendas</x:v>
      </x:c>
      <x:c r="J10" s="17" t="str">
        <x:v>Começar pela necessidade do cliente</x:v>
      </x:c>
    </x:row>
    <x:row r="11">
      <x:c r="A11" s="17" t="str">
        <x:v>I08</x:v>
      </x:c>
      <x:c r="B11" s="17" t="str">
        <x:v>O que eu preciso hoje?</x:v>
      </x:c>
      <x:c r="C11" s="17" t="str">
        <x:v>Entrada conversacional para encaminhar a função certa</x:v>
      </x:c>
      <x:c r="D11" s="17" t="str">
        <x:v>Descoberta difícil</x:v>
      </x:c>
      <x:c r="E11" s="17" t="str">
        <x:v>Intenção + catálogo de serviços</x:v>
      </x:c>
      <x:c r="F11" s="17" t="str">
        <x:v>NLP/orquestração</x:v>
      </x:c>
      <x:c r="G11" s="17" t="str">
        <x:v>Entendimento de intenção</x:v>
      </x:c>
      <x:c r="H11" s="17" t="str">
        <x:v>Wireframe conversacional</x:v>
      </x:c>
      <x:c r="I11" s="17" t="str">
        <x:v>Chatbot genérico</x:v>
      </x:c>
      <x:c r="J11" s="17" t="str">
        <x:v>IA é interface para ações reais</x:v>
      </x:c>
    </x:row>
    <x:row r="12">
      <x:c r="A12" s="17" t="str">
        <x:v>I09</x:v>
      </x:c>
      <x:c r="B12" s="17" t="str">
        <x:v>Assistente de Mobilidade Contextual</x:v>
      </x:c>
      <x:c r="C12" s="17" t="str">
        <x:v>Assistente que combina contrato, carro, KM, manutenção, benefícios e histórico</x:v>
      </x:c>
      <x:c r="D12" s="17" t="str">
        <x:v>Necessidades fragmentadas</x:v>
      </x:c>
      <x:c r="E12" s="17" t="str">
        <x:v>Contexto contratual + uso</x:v>
      </x:c>
      <x:c r="F12" s="17" t="str">
        <x:v>Context engine + recommendation engine</x:v>
      </x:c>
      <x:c r="G12" s="17" t="str">
        <x:v>Personalização</x:v>
      </x:c>
      <x:c r="H12" s="17" t="str">
        <x:v>Storyboard end-to-end</x:v>
      </x:c>
      <x:c r="I12" s="17" t="str">
        <x:v>Complexidade alta</x:v>
      </x:c>
      <x:c r="J12" s="17" t="str">
        <x:v>MVP com poucas regras</x:v>
      </x:c>
    </x:row>
    <x:row r="13">
      <x:c r="A13" s="17" t="str">
        <x:v>I10</x:v>
      </x:c>
      <x:c r="B13" s="17" t="str">
        <x:v>Seu carro, sua rotina</x:v>
      </x:c>
      <x:c r="C13" s="17" t="str">
        <x:v>Aprender padrões de uso para contextualizar o app</x:v>
      </x:c>
      <x:c r="D13" s="17" t="str">
        <x:v>Falta de contexto</x:v>
      </x:c>
      <x:c r="E13" s="17" t="str">
        <x:v>Histórico; preferências; contexto</x:v>
      </x:c>
      <x:c r="F13" s="17" t="str">
        <x:v>Personalization engine</x:v>
      </x:c>
      <x:c r="G13" s="17" t="str">
        <x:v>Modelos comportamentais</x:v>
      </x:c>
      <x:c r="H13" s="17" t="str">
        <x:v>Mapa de rotina + 3 cards</x:v>
      </x:c>
      <x:c r="I13" s="17" t="str">
        <x:v>Privacidade</x:v>
      </x:c>
      <x:c r="J13" s="17" t="str">
        <x:v>Consentimento/minimização</x:v>
      </x:c>
    </x:row>
    <x:row r="14">
      <x:c r="A14" s="17" t="str">
        <x:v>I11</x:v>
      </x:c>
      <x:c r="B14" s="17" t="str">
        <x:v>Mobility Score</x:v>
      </x:c>
      <x:c r="C14" s="17" t="str">
        <x:v>Indicador simples da saúde da jornada</x:v>
      </x:c>
      <x:c r="D14" s="17" t="str">
        <x:v>Falta de visão consolidada</x:v>
      </x:c>
      <x:c r="E14" s="17" t="str">
        <x:v>KM; manutenção; contrato; documentos</x:v>
      </x:c>
      <x:c r="F14" s="17" t="str">
        <x:v>Analytics</x:v>
      </x:c>
      <x:c r="G14" s="17" t="str">
        <x:v>Opcional</x:v>
      </x:c>
      <x:c r="H14" s="17" t="str">
        <x:v>Tela de score com fatores acionáveis</x:v>
      </x:c>
      <x:c r="I14" s="17" t="str">
        <x:v>Métrica artificial</x:v>
      </x:c>
      <x:c r="J14" s="17" t="str">
        <x:v>Só medir coisas acionáveis</x:v>
      </x:c>
    </x:row>
    <x:row r="15">
      <x:c r="A15" s="17" t="str">
        <x:v>I12</x:v>
      </x:c>
      <x:c r="B15" s="17" t="str">
        <x:v>Zero Surpresa</x:v>
      </x:c>
      <x:c r="C15" s="17" t="str">
        <x:v>Antecipar pontos de fricção do mês</x:v>
      </x:c>
      <x:c r="D15" s="17" t="str">
        <x:v>Imprevistos</x:v>
      </x:c>
      <x:c r="E15" s="17" t="str">
        <x:v>Fatura; KM; manutenção; documentos; multas</x:v>
      </x:c>
      <x:c r="F15" s="17" t="str">
        <x:v>Rules + alerts</x:v>
      </x:c>
      <x:c r="G15" s="17" t="str">
        <x:v>Opcional</x:v>
      </x:c>
      <x:c r="H15" s="17" t="str">
        <x:v>Checklist mensal visual</x:v>
      </x:c>
      <x:c r="I15" s="17" t="str">
        <x:v>Excesso de informação</x:v>
      </x:c>
      <x:c r="J15" s="17" t="str">
        <x:v>Poucos alertas de alto valor</x:v>
      </x:c>
    </x:row>
    <x:row r="16">
      <x:c r="A16" s="16"/>
      <x:c r="B16" s="16"/>
      <x:c r="C16" s="16"/>
      <x:c r="D16" s="16"/>
      <x:c r="E16" s="16"/>
      <x:c r="F16" s="16"/>
      <x:c r="G16" s="16"/>
      <x:c r="H16" s="16"/>
      <x:c r="I16" s="16"/>
      <x:c r="J16" s="16"/>
    </x:row>
  </x:sheetData>
  <x:mergeCells>
    <x:mergeCell ref="A1:J1"/>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22" hidden="0" customWidth="1"/>
    <x:col min="3" max="3" width="42" hidden="0" customWidth="1"/>
    <x:col min="4" max="4" width="20" hidden="0" customWidth="1"/>
    <x:col min="5" max="5" width="24" hidden="0" customWidth="1"/>
    <x:col min="6" max="6" width="36" hidden="0" customWidth="1"/>
    <x:col min="7" max="7" width="30" hidden="0" customWidth="1"/>
    <x:col min="8" max="8" width="16" hidden="0" customWidth="1"/>
  </x:cols>
  <x:sheetData>
    <x:row r="1" ht="28" customHeight="1">
      <x:c r="A1" s="5" t="str">
        <x:v>Métricas para avaliar o Case 2</x:v>
      </x:c>
    </x:row>
    <x:row r="3">
      <x:c r="A3" s="24" t="str">
        <x:v>Métrica</x:v>
      </x:c>
      <x:c r="B3" s="24" t="str">
        <x:v>Categoria</x:v>
      </x:c>
      <x:c r="C3" s="24" t="str">
        <x:v>Definição</x:v>
      </x:c>
      <x:c r="D3" s="24" t="str">
        <x:v>Baseline disponível</x:v>
      </x:c>
      <x:c r="E3" s="24" t="str">
        <x:v>Fonte/Status</x:v>
      </x:c>
      <x:c r="F3" s="24" t="str">
        <x:v>Como interpretar</x:v>
      </x:c>
      <x:c r="G3" s="24" t="str">
        <x:v>Risco</x:v>
      </x:c>
      <x:c r="H3" s="24" t="str">
        <x:v>Prioridade</x:v>
      </x:c>
    </x:row>
    <x:row r="4">
      <x:c r="A4" s="17" t="str">
        <x:v>MAU</x:v>
      </x:c>
      <x:c r="B4" s="17" t="str">
        <x:v>Engajamento</x:v>
      </x:c>
      <x:c r="C4" s="17" t="str">
        <x:v>Usuários ativos mensais</x:v>
      </x:c>
      <x:c r="D4" s="32" t="n">
        <x:v>53000</x:v>
      </x:c>
      <x:c r="E4" s="17" t="str">
        <x:v>Dado do case</x:v>
      </x:c>
      <x:c r="F4" s="17" t="str">
        <x:v>Escala de uso mensal</x:v>
      </x:c>
      <x:c r="G4" s="17" t="str">
        <x:v>Não mede valor por si só</x:v>
      </x:c>
      <x:c r="H4" s="17" t="str">
        <x:v>Alta</x:v>
      </x:c>
    </x:row>
    <x:row r="5">
      <x:c r="A5" s="17" t="str">
        <x:v>WAU</x:v>
      </x:c>
      <x:c r="B5" s="17" t="str">
        <x:v>Engajamento</x:v>
      </x:c>
      <x:c r="C5" s="17" t="str">
        <x:v>Usuários ativos semanais</x:v>
      </x:c>
      <x:c r="D5" s="32" t="n">
        <x:v>31000</x:v>
      </x:c>
      <x:c r="E5" s="17" t="str">
        <x:v>Dado do case</x:v>
      </x:c>
      <x:c r="F5" s="17" t="str">
        <x:v>Recorrência de uso</x:v>
      </x:c>
      <x:c r="G5" s="17" t="str">
        <x:v>Não mede qualidade da interação</x:v>
      </x:c>
      <x:c r="H5" s="17" t="str">
        <x:v>Alta</x:v>
      </x:c>
    </x:row>
    <x:row r="6">
      <x:c r="A6" s="17" t="str">
        <x:v>Frequência de uso</x:v>
      </x:c>
      <x:c r="B6" s="17" t="str">
        <x:v>Engajamento</x:v>
      </x:c>
      <x:c r="C6" s="17" t="str">
        <x:v>Distribuição de sessões por faixa</x:v>
      </x:c>
      <x:c r="D6" s="32" t="str">
        <x:v>36/28/19/11/6%</x:v>
      </x:c>
      <x:c r="E6" s="17" t="str">
        <x:v>Dado do case</x:v>
      </x:c>
      <x:c r="F6" s="17" t="str">
        <x:v>Mostra concentração de uso</x:v>
      </x:c>
      <x:c r="G6" s="17" t="str">
        <x:v>Pode não refletir valor</x:v>
      </x:c>
      <x:c r="H6" s="17" t="str">
        <x:v>Alta</x:v>
      </x:c>
    </x:row>
    <x:row r="7">
      <x:c r="A7" s="17" t="str">
        <x:v>Valuable Monthly Users (VMU)</x:v>
      </x:c>
      <x:c r="B7" s="17" t="str">
        <x:v>Valor</x:v>
      </x:c>
      <x:c r="C7" s="17" t="str">
        <x:v>% de clientes que realizaram ao menos uma ação de valor no mês</x:v>
      </x:c>
      <x:c r="D7" s="30"/>
      <x:c r="E7" s="17" t="str">
        <x:v>Proposta</x:v>
      </x:c>
      <x:c r="F7" s="17" t="str">
        <x:v>Métrica norteadora de valor</x:v>
      </x:c>
      <x:c r="G7" s="17" t="str">
        <x:v>Definição precisa ser validada</x:v>
      </x:c>
      <x:c r="H7" s="17" t="str">
        <x:v>Alta</x:v>
      </x:c>
    </x:row>
    <x:row r="8">
      <x:c r="A8" s="17" t="str">
        <x:v>Digital Resolution Rate</x:v>
      </x:c>
      <x:c r="B8" s="17" t="str">
        <x:v>Eficiência</x:v>
      </x:c>
      <x:c r="C8" s="17" t="str">
        <x:v>% de necessidades elegíveis resolvidas digitalmente sem humano</x:v>
      </x:c>
      <x:c r="D8" s="30"/>
      <x:c r="E8" s="17" t="str">
        <x:v>Proposta</x:v>
      </x:c>
      <x:c r="F8" s="17" t="str">
        <x:v>Conecta produto e operação</x:v>
      </x:c>
      <x:c r="G8" s="17" t="str">
        <x:v>Precisa classificar demandas elegíveis</x:v>
      </x:c>
      <x:c r="H8" s="17" t="str">
        <x:v>Alta</x:v>
      </x:c>
    </x:row>
    <x:row r="9">
      <x:c r="A9" s="17" t="str">
        <x:v>Contextual Action Rate</x:v>
      </x:c>
      <x:c r="B9" s="17" t="str">
        <x:v>Relevância</x:v>
      </x:c>
      <x:c r="C9" s="17" t="str">
        <x:v>% de recomendações contextuais que viram ação</x:v>
      </x:c>
      <x:c r="D9" s="30"/>
      <x:c r="E9" s="17" t="str">
        <x:v>Proposta</x:v>
      </x:c>
      <x:c r="F9" s="17" t="str">
        <x:v>Mede qualidade do contexto</x:v>
      </x:c>
      <x:c r="G9" s="17" t="str">
        <x:v>Não basta clicar; ação deve gerar valor</x:v>
      </x:c>
      <x:c r="H9" s="17" t="str">
        <x:v>Alta</x:v>
      </x:c>
    </x:row>
    <x:row r="10">
      <x:c r="A10" s="17" t="str">
        <x:v>App NPS</x:v>
      </x:c>
      <x:c r="B10" s="17" t="str">
        <x:v>Relacionamento</x:v>
      </x:c>
      <x:c r="C10" s="17" t="str">
        <x:v>NPS do aplicativo</x:v>
      </x:c>
      <x:c r="D10" s="32" t="n">
        <x:v>84</x:v>
      </x:c>
      <x:c r="E10" s="17" t="str">
        <x:v>Dado do case</x:v>
      </x:c>
      <x:c r="F10" s="17" t="str">
        <x:v>Baseline forte</x:v>
      </x:c>
      <x:c r="G10" s="17" t="str">
        <x:v>Não mede relacionamento global</x:v>
      </x:c>
      <x:c r="H10" s="17" t="str">
        <x:v>Alta</x:v>
      </x:c>
    </x:row>
    <x:row r="11">
      <x:c r="A11" s="17" t="str">
        <x:v>NPS relacional</x:v>
      </x:c>
      <x:c r="B11" s="17" t="str">
        <x:v>Relacionamento</x:v>
      </x:c>
      <x:c r="C11" s="17" t="str">
        <x:v>NPS da assinatura</x:v>
      </x:c>
      <x:c r="D11" s="30" t="n">
        <x:v>45</x:v>
      </x:c>
      <x:c r="E11" s="17" t="str">
        <x:v>Dado do case</x:v>
      </x:c>
      <x:c r="F11" s="17" t="str">
        <x:v>Gap estratégico</x:v>
      </x:c>
      <x:c r="G11" s="17" t="str">
        <x:v>Não provar causalidade com app</x:v>
      </x:c>
      <x:c r="H11" s="17" t="str">
        <x:v>Alta</x:v>
      </x:c>
    </x:row>
    <x:row r="12">
      <x:c r="A12" s="17" t="str">
        <x:v>Renewal rate</x:v>
      </x:c>
      <x:c r="B12" s="17" t="str">
        <x:v>Negócio</x:v>
      </x:c>
      <x:c r="C12" s="17" t="str">
        <x:v>% de clientes que renovam</x:v>
      </x:c>
      <x:c r="D12" s="30" t="n">
        <x:v>0.48</x:v>
      </x:c>
      <x:c r="E12" s="17" t="str">
        <x:v>Dado do case</x:v>
      </x:c>
      <x:c r="F12" s="17" t="str">
        <x:v>Resultado de negócio</x:v>
      </x:c>
      <x:c r="G12" s="17" t="str">
        <x:v>Não atribuir causalidade diretamente</x:v>
      </x:c>
      <x:c r="H12" s="17" t="str">
        <x:v>Alta</x:v>
      </x:c>
    </x:row>
    <x:row r="13">
      <x:c r="A13" s="17" t="str">
        <x:v>Referral rate</x:v>
      </x:c>
      <x:c r="B13" s="17" t="str">
        <x:v>Negócio</x:v>
      </x:c>
      <x:c r="C13" s="17" t="str">
        <x:v>% que indicam amigo/familiar</x:v>
      </x:c>
      <x:c r="D13" s="32" t="n">
        <x:v>0.07</x:v>
      </x:c>
      <x:c r="E13" s="17" t="str">
        <x:v>Dado do case</x:v>
      </x:c>
      <x:c r="F13" s="17" t="str">
        <x:v>Advocacy</x:v>
      </x:c>
      <x:c r="G13" s="17" t="str">
        <x:v>Pode ser influenciado por outros fatores</x:v>
      </x:c>
      <x:c r="H13" s="17" t="str">
        <x:v>Média</x:v>
      </x:c>
    </x:row>
    <x:row r="14">
      <x:c r="A14" s="17" t="str">
        <x:v>Contatos humanos</x:v>
      </x:c>
      <x:c r="B14" s="17" t="str">
        <x:v>Operação</x:v>
      </x:c>
      <x:c r="C14" s="17" t="str">
        <x:v>&gt;80k/mês</x:v>
      </x:c>
      <x:c r="D14" s="32" t="str">
        <x:v>&gt;80.000</x:v>
      </x:c>
      <x:c r="E14" s="17" t="str">
        <x:v>Dado do case</x:v>
      </x:c>
      <x:c r="F14" s="17" t="str">
        <x:v>Potencial de redução de demandas evitáveis</x:v>
      </x:c>
      <x:c r="G14" s="17" t="str">
        <x:v>Nem todo contato é digitalizável</x:v>
      </x:c>
      <x:c r="H14" s="17" t="str">
        <x:v>Alta</x:v>
      </x:c>
    </x:row>
    <x:row r="15">
      <x:c r="A15" s="17" t="str">
        <x:v>Chat share</x:v>
      </x:c>
      <x:c r="B15" s="17" t="str">
        <x:v>Operação</x:v>
      </x:c>
      <x:c r="C15" s="17" t="str">
        <x:v>% dos contatos via chat</x:v>
      </x:c>
      <x:c r="D15" s="32" t="n">
        <x:v>0.75</x:v>
      </x:c>
      <x:c r="E15" s="17" t="str">
        <x:v>Dado do case</x:v>
      </x:c>
      <x:c r="F15" s="17" t="str">
        <x:v>Parte digital já existe</x:v>
      </x:c>
      <x:c r="G15" s="17" t="str">
        <x:v>Chat pode ser crítico</x:v>
      </x:c>
      <x:c r="H15" s="17" t="str">
        <x:v>Média</x:v>
      </x:c>
    </x:row>
    <x:row r="16">
      <x:c r="A16" s="17" t="str">
        <x:v>Phone share</x:v>
      </x:c>
      <x:c r="B16" s="17" t="str">
        <x:v>Operação</x:v>
      </x:c>
      <x:c r="C16" s="17" t="str">
        <x:v>% dos contatos via telefone</x:v>
      </x:c>
      <x:c r="D16" s="32" t="n">
        <x:v>0.25</x:v>
      </x:c>
      <x:c r="E16" s="17" t="str">
        <x:v>Dado do case</x:v>
      </x:c>
      <x:c r="F16" s="17" t="str">
        <x:v>Parcela humana/voz</x:v>
      </x:c>
      <x:c r="G16" s="17" t="str">
        <x:v>Pode conter casos de alta complexidade</x:v>
      </x:c>
      <x:c r="H16" s="17" t="str">
        <x:v>Média</x:v>
      </x:c>
    </x:row>
    <x:row r="17">
      <x:c r="A17" s="17" t="str">
        <x:v>Benefícios utilizados</x:v>
      </x:c>
      <x:c r="B17" s="17" t="str">
        <x:v>Engajamento/Valor</x:v>
      </x:c>
      <x:c r="C17" s="17" t="str">
        <x:v>Uso de benefícios relevantes</x:v>
      </x:c>
      <x:c r="D17" s="32"/>
      <x:c r="E17" s="17" t="str">
        <x:v>A definir</x:v>
      </x:c>
      <x:c r="F17" s="17" t="str">
        <x:v>Mede valor contextual</x:v>
      </x:c>
      <x:c r="G17" s="17" t="str">
        <x:v>Depende de instrumentação</x:v>
      </x:c>
      <x:c r="H17" s="17" t="str">
        <x:v>Média</x:v>
      </x:c>
    </x:row>
    <x:row r="18">
      <x:c r="A18" s="17" t="str">
        <x:v>Manutenções agendadas digitalmente</x:v>
      </x:c>
      <x:c r="B18" s="17" t="str">
        <x:v>Operação</x:v>
      </x:c>
      <x:c r="C18" s="17" t="str">
        <x:v>% dos agendamentos feitos no app</x:v>
      </x:c>
      <x:c r="D18" s="32"/>
      <x:c r="E18" s="17" t="str">
        <x:v>A definir</x:v>
      </x:c>
      <x:c r="F18" s="17" t="str">
        <x:v>Mede utilidade acionável</x:v>
      </x:c>
      <x:c r="G18" s="17" t="str">
        <x:v>Precisa baseline</x:v>
      </x:c>
      <x:c r="H18" s="17" t="str">
        <x:v>Média</x:v>
      </x:c>
    </x:row>
  </x:sheetData>
  <x:mergeCells>
    <x:mergeCell ref="A1:H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48" hidden="0" customWidth="1"/>
    <x:col min="3" max="3" width="48" hidden="0" customWidth="1"/>
    <x:col min="4" max="4" width="50" hidden="0" customWidth="1"/>
  </x:cols>
  <x:sheetData>
    <x:row r="1" ht="28" customHeight="1">
      <x:c r="A1" s="5" t="str">
        <x:v>Critérios oficiais de avaliação — RUPTURA 2026</x:v>
      </x:c>
    </x:row>
    <x:row r="3">
      <x:c r="A3" s="24" t="str">
        <x:v>Critério</x:v>
      </x:c>
      <x:c r="B3" s="24" t="str">
        <x:v>1 — Insuficiente</x:v>
      </x:c>
      <x:c r="C3" s="24" t="str">
        <x:v>2 — Regular</x:v>
      </x:c>
      <x:c r="D3" s="24" t="str">
        <x:v>3 — Excelente</x:v>
      </x:c>
    </x:row>
    <x:row r="4">
      <x:c r="A4" s="17" t="str">
        <x:v>Inovação</x:v>
      </x:c>
      <x:c r="B4" s="17" t="str">
        <x:v>Solução extremamente difundida e já utilizada para o problema.</x:v>
      </x:c>
      <x:c r="C4" s="17" t="str">
        <x:v>Projeto razoavelmente criativo, mas já aplicado para atenuar o problema.</x:v>
      </x:c>
      <x:c r="D4" s="17" t="str">
        <x:v>Alto impacto e elementos tecnológicos ou operacionais bastante criativos.</x:v>
      </x:c>
    </x:row>
    <x:row r="5">
      <x:c r="A5" s="17" t="str">
        <x:v>Escalabilidade</x:v>
      </x:c>
      <x:c r="B5" s="17" t="str">
        <x:v>Não escala sem recursos na mesma proporção do crescimento.</x:v>
      </x:c>
      <x:c r="C5" s="17" t="str">
        <x:v>Exige investimentos/equipe em proporção um pouco menor que o crescimento.</x:v>
      </x:c>
      <x:c r="D5" s="17" t="str">
        <x:v>Expande com recursos em proporção muito menor que o crescimento.</x:v>
      </x:c>
    </x:row>
    <x:row r="6">
      <x:c r="A6" s="17" t="str">
        <x:v>Coerência</x:v>
      </x:c>
      <x:c r="B6" s="17" t="str">
        <x:v>Grupo não compreendeu/empatizou com as dores; problema pouco relevante; solução pouco efetiva.</x:v>
      </x:c>
      <x:c r="C6" s="17" t="str">
        <x:v>Compreensão parcial e pouca empatia; problema relevante; solução limitada.</x:v>
      </x:c>
      <x:c r="D6" s="17" t="str">
        <x:v>Grupo compreendeu e se empatizou com as dores; problema relevante; solução ajuda total ou parcialmente.</x:v>
      </x:c>
    </x:row>
    <x:row r="7">
      <x:c r="A7" s="17" t="str">
        <x:v>Desejabilidade</x:v>
      </x:c>
      <x:c r="B7" s="17" t="str">
        <x:v>Empresa vê pouco ou nenhum potencial; pouco impacto para quem sofre o problema.</x:v>
      </x:c>
      <x:c r="C7" s="17" t="str">
        <x:v>Empresa vê algum potencial; solução faria diferença.</x:v>
      </x:c>
      <x:c r="D7" s="17" t="str">
        <x:v>Empresa vê muito potencial e vontade de investir; solução faria muita diferença.</x:v>
      </x:c>
    </x:row>
    <x:row r="8">
      <x:c r="A8" s="17" t="str">
        <x:v>Viabilidade</x:v>
      </x:c>
      <x:c r="B8" s="17" t="str">
        <x:v>Muito cara ou inviável tecnicamente.</x:v>
      </x:c>
      <x:c r="C8" s="17" t="str">
        <x:v>Razoavelmente barata e usa tecnologia conhecida.</x:v>
      </x:c>
      <x:c r="D8" s="17" t="str">
        <x:v>Tecnológica e financeiramente bastante viável, inclusive em contextos com recursos limitados.</x:v>
      </x:c>
    </x:row>
    <x:row r="9">
      <x:c r="A9" s="17" t="str">
        <x:v>Apresentação</x:v>
      </x:c>
      <x:c r="B9" s="17" t="str">
        <x:v>Pouco coerente; grupo despreparado; material pouco conciso/chamativo.</x:v>
      </x:c>
      <x:c r="C9" s="17" t="str">
        <x:v>Coerente, mas com falhas de preparo/material.</x:v>
      </x:c>
      <x:c r="D9" s="17" t="str">
        <x:v>Bastante coerente, grupo bem preparado e material conciso/chamativo.</x:v>
      </x:c>
    </x:row>
    <x:row r="10">
      <x:c r="A10" s="16"/>
      <x:c r="B10" s="16"/>
      <x:c r="C10" s="16"/>
      <x:c r="D10" s="16"/>
    </x:row>
    <x:row r="11">
      <x:c r="A11" s="16"/>
      <x:c r="B11" s="16"/>
      <x:c r="C11" s="16"/>
      <x:c r="D11" s="16"/>
    </x:row>
    <x:row r="12">
      <x:c r="A12" s="40" t="str">
        <x:v>Regra de uso</x:v>
      </x:c>
      <x:c r="B12" s="40" t="str">
        <x:v>Cada critério é avaliado em 1, 2 ou 3. Não atribua pesos diferentes sem fonte oficial.</x:v>
      </x:c>
      <x:c r="C12" s="40" t="str"/>
      <x:c r="D12" s="40" t="str"/>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36" hidden="0" customWidth="1"/>
    <x:col min="3" max="3" width="24" hidden="0" customWidth="1"/>
    <x:col min="4" max="4" width="52" hidden="0" customWidth="1"/>
    <x:col min="5" max="5" width="48" hidden="0" customWidth="1"/>
  </x:cols>
  <x:sheetData>
    <x:row r="1" ht="28" customHeight="1">
      <x:c r="A1" s="5" t="str">
        <x:v>Fontes e rastreabilidade</x:v>
      </x:c>
    </x:row>
    <x:row r="3">
      <x:c r="A3" s="24" t="str">
        <x:v>ID</x:v>
      </x:c>
      <x:c r="B3" s="24" t="str">
        <x:v>Fonte</x:v>
      </x:c>
      <x:c r="C3" s="24" t="str">
        <x:v>Tipo</x:v>
      </x:c>
      <x:c r="D3" s="24" t="str">
        <x:v>URL / Localização</x:v>
      </x:c>
      <x:c r="E3" s="24" t="str">
        <x:v>Observação</x:v>
      </x:c>
    </x:row>
    <x:row r="4">
      <x:c r="A4" s="17" t="str">
        <x:v>S01</x:v>
      </x:c>
      <x:c r="B4" s="17" t="str">
        <x:v>Manual do Participante RUPTURA 2026.pdf</x:v>
      </x:c>
      <x:c r="C4" s="17" t="str">
        <x:v>Documento do evento</x:v>
      </x:c>
      <x:c r="D4" s="17" t="str">
        <x:v>Páginas 21–22 (critérios); pág. 20 (pitch)</x:v>
      </x:c>
      <x:c r="E4" s="17" t="str">
        <x:v>Critérios oficiais: Inovação, Escalabilidade, Coerência, Desejabilidade, Viabilidade, Apresentação.</x:v>
      </x:c>
    </x:row>
    <x:row r="5">
      <x:c r="A5" s="17" t="str">
        <x:v>S02</x:v>
      </x:c>
      <x:c r="B5" s="17" t="str">
        <x:v>Cases Meoo Ruptura Apresentação (5).pdf</x:v>
      </x:c>
      <x:c r="C5" s="17" t="str">
        <x:v>Case Localiza</x:v>
      </x:c>
      <x:c r="D5" s="17" t="str">
        <x:v>Case 2 — Engajamento Digital</x:v>
      </x:c>
      <x:c r="E5" s="17" t="str">
        <x:v>Dados do Case 2, dores, jornada e objetivo.</x:v>
      </x:c>
    </x:row>
    <x:row r="6">
      <x:c r="A6" s="17" t="str">
        <x:v>S03</x:v>
      </x:c>
      <x:c r="B6" s="17" t="str">
        <x:v>Cases Meoo Ruptura Apresentação CD.pdf</x:v>
      </x:c>
      <x:c r="C6" s="17" t="str">
        <x:v>Case Localiza</x:v>
      </x:c>
      <x:c r="D6" s="17" t="str">
        <x:v>Case 2 — Engajamento Digital</x:v>
      </x:c>
      <x:c r="E6" s="17" t="str">
        <x:v>Cópia alternativa do material dos cases.</x:v>
      </x:c>
    </x:row>
    <x:row r="7">
      <x:c r="A7" s="17" t="str">
        <x:v>S04</x:v>
      </x:c>
      <x:c r="B7" s="17" t="str">
        <x:v>RUPTURA_2026_Case_2_Localiza_Dossie(1).md</x:v>
      </x:c>
      <x:c r="C7" s="17" t="str">
        <x:v>Dossiê consolidado</x:v>
      </x:c>
      <x:c r="D7" s="17" t="str">
        <x:v>§4–§55</x:v>
      </x:c>
      <x:c r="E7" s="17" t="str">
        <x:v>Consolidação de dados, pesquisa oficial, hipóteses e ideias.</x:v>
      </x:c>
    </x:row>
    <x:row r="8">
      <x:c r="A8" s="17" t="str">
        <x:v>S05</x:v>
      </x:c>
      <x:c r="B8" s="17" t="str">
        <x:v>Localiza Assinatura</x:v>
      </x:c>
      <x:c r="C8" s="17" t="str">
        <x:v>Fonte oficial atual</x:v>
      </x:c>
      <x:c r="D8" s="17" t="str">
        <x:v>https://assinatura.localiza.com/</x:v>
      </x:c>
      <x:c r="E8" s="17" t="str">
        <x:v>Site oficial citado no dossiê.</x:v>
      </x:c>
    </x:row>
    <x:row r="9">
      <x:c r="A9" s="17" t="str">
        <x:v>S06</x:v>
      </x:c>
      <x:c r="B9" s="17" t="str">
        <x:v>Localiza Assinatura — Google Play</x:v>
      </x:c>
      <x:c r="C9" s="17" t="str">
        <x:v>Fonte oficial atual</x:v>
      </x:c>
      <x:c r="D9" s="17" t="str">
        <x:v>https://play.google.com/store/apps/details?id=com.localiza.meoo.app</x:v>
      </x:c>
      <x:c r="E9" s="17" t="str">
        <x:v>App Android citado no dossiê.</x:v>
      </x:c>
    </x:row>
    <x:row r="10">
      <x:c r="A10" s="17" t="str">
        <x:v>S07</x:v>
      </x:c>
      <x:c r="B10" s="17" t="str">
        <x:v>Localiza Assinatura — App Store</x:v>
      </x:c>
      <x:c r="C10" s="17" t="str">
        <x:v>Fonte oficial atual</x:v>
      </x:c>
      <x:c r="D10" s="17" t="str">
        <x:v>https://apps.apple.com/br/app/localiza-assinatura-meoo/id1528537131</x:v>
      </x:c>
      <x:c r="E10" s="17" t="str">
        <x:v>App iOS citado no dossiê.</x:v>
      </x:c>
    </x:row>
    <x:row r="11">
      <x:c r="A11" s="17" t="str">
        <x:v>S08</x:v>
      </x:c>
      <x:c r="B11" s="17" t="str">
        <x:v>Clube de Benefícios</x:v>
      </x:c>
      <x:c r="C11" s="17" t="str">
        <x:v>Fonte oficial atual</x:v>
      </x:c>
      <x:c r="D11" s="17" t="str">
        <x:v>https://assinatura.localiza.com/clube-de-beneficios/</x:v>
      </x:c>
      <x:c r="E11" s="17" t="str">
        <x:v>Clube citado no dossiê.</x:v>
      </x:c>
    </x:row>
    <x:row r="12">
      <x:c r="A12" s="17" t="str">
        <x:v>S09</x:v>
      </x:c>
      <x:c r="B12" s="17" t="str">
        <x:v>Carros por assinatura</x:v>
      </x:c>
      <x:c r="C12" s="17" t="str">
        <x:v>Fonte oficial atual</x:v>
      </x:c>
      <x:c r="D12" s="17" t="str">
        <x:v>https://assinatura.localiza.com/assinatura</x:v>
      </x:c>
      <x:c r="E12" s="17" t="str">
        <x:v>Página de assinatura citada no dossiê.</x:v>
      </x:c>
    </x:row>
    <x:row r="13">
      <x:c r="A13" s="17" t="str">
        <x:v>S10</x:v>
      </x:c>
      <x:c r="B13" s="17" t="str">
        <x:v>Blog Localiza Assinatura</x:v>
      </x:c>
      <x:c r="C13" s="17" t="str">
        <x:v>Fonte oficial atual</x:v>
      </x:c>
      <x:c r="D13" s="17" t="str">
        <x:v>https://assinatura.localiza.com/blog/</x:v>
      </x:c>
      <x:c r="E13" s="17" t="str">
        <x:v>Fonte complementar citada no dossiê.</x:v>
      </x:c>
    </x:row>
  </x:sheetData>
  <x:mergeCells>
    <x:mergeCell ref="A1:E1"/>
  </x:mergeCells>
  <x:pageMargins left="0.7" right="0.7" top="0.75" bottom="0.75" header="0.3" footer="0.3"/>
</x:worksheet>
</file>

<file path=xl/worksheets/sheet9.xml><?xml version="1.0" encoding="utf-8"?>
<x:worksheet xmlns:x="http://schemas.openxmlformats.org/spreadsheetml/2006/main">
  <x:sheetFormatPr defaultRowHeight="15"/>
  <x:cols>
    <x:col min="1" max="1" width="120"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5" t="str">
        <x:v>Prompt especializado — destrinchar o Case 2</x:v>
      </x:c>
    </x:row>
    <x:row r="3" ht="420" customHeight="1">
      <x:c r="A3" s="17" t="str">
        <x:v>Você é um especialista em estratégia de produto, inovação corporativa, UX, comportamento do consumidor, mobilidade, dados e hackathons.
Sua missão é destrinchar profundamente o Case 2 do RUPTURA 2026:
“Do atendimento ao hábito”
Pergunta do desafio:
Como transformar o app do Localiza Assinatura em um companheiro de mobilidade, e não apenas um canal de atendimento?
IMPORTANTE:
- Não parta diretamente para uma solução.
- Faça primeiro um diagnóstico profundo do problema.
- Considere que o hackathon provavelmente terá apenas um protótipo conceitual: wireframes, storyboard, fluxos, desenhos de telas, arquitetura e simulação da experiência.
- Não dependa de software funcional.
- Use o Excel/Databook fornecido como base quantitativa.
- Diferencie DADO DO CASE, DADO ATUAL DO PRODUTO, INFERÊNCIA, HIPÓTESE e PROPOSTA.
- Não trate hipótese como fato.
- Não invente integrações internas da Localiza.
- Quando um dado não estiver disponível, diga explicitamente que precisa ser validado.
DADOS-CHAVE A CONSIDERAR:
- ~70 mil clientes;
- 80,1% dos clientes acessam o app no mês;
- 53 mil MAU;
- 31 mil WAU;
- 99% acessaram nos últimos 6 meses;
- 95,5% acessaram nos últimos 3 meses;
- distribuição de frequência: 36% em 1–2 acessos/mês; 28% em 3–5; 19% em 6–10; 11% em 11–20; 6% em 21+;
- App NPS 84;
- NPS relacional da assinatura ~45;
- &gt;80 mil contatos mensais;
- 75% via chat e 25% via telefone;
- ~48% renovam ao final do contrato;
- ~7% indicam amigo/familiar;
- &gt;100 mil downloads do app, conforme pesquisa consolidada no dossiê;
- &gt;150 modelos;
- &gt;500 pontos de retirada;
- &gt;10 mil oficinas parceiras;
- ~70 mil carros em frota ativa;
- ~R$7,5 bilhões investidos na frota;
- ~630 pessoas suportando a operação;
- NPS do produto Assinatura 85;
- ~97% de nível de serviço na célula Platinum.
Faça:
1. Diagnóstico do problema.
2. Análise da jornada atual.
3. Identificação de Jobs to Be Done.
4. Segmentação de oportunidades por momento da jornada.
5. Identificação de dores do cliente e da Localiza.
6. Mapeamento das funcionalidades que o app já possui.
7. Identificação de gaps entre capacidades atuais e necessidades.
8. Geração de pelo menos 10 ideias.
9. Agrupamento das ideias por território:
   - contexto;
   - antecipação;
   - planejamento;
   - benefícios;
   - valor percebido;
   - manutenção;
   - renovação;
   - atendimento;
   - personalização.
10. Avaliação de cada ideia pelos seis critérios oficiais:
   - Inovação;
   - Escalabilidade;
   - Coerência;
   - Desejabilidade;
   - Viabilidade;
   - Apresentação.
11. Para cada ideia, explique por que ela consegue ser demonstrada sem software funcional.
12. Escolha uma linha de solução principal.
13. Proponha um MVP conceitual.
14. Defina as telas do protótipo.
15. Desenhe a jornada antes/depois.
16. Crie arquitetura conceitual futura.
17. Defina métricas.
18. Defina experimento de validação.
19. Liste riscos.
20. Prepare perguntas difíceis da banca.
Métrica norteadora proposta:
Valuable Monthly Users (VMU) = percentual de clientes que realizaram ao menos uma ação considerada de valor durante o mês.
Outras métricas possíveis:
- Digital Resolution Rate;
- Contextual Action Rate;
- frequência de uso;
- ações concluídas;
- percepção de valor;
- NPS;
- renovação;
- indicação;
- redução de contatos evitáveis.
NÃO maximize simplesmente número de acessos.
A pergunta é:
“Que necessidade real da mobilidade a Localiza consegue resolver melhor porque conhece o carro, o contrato, a manutenção, o KM, os benefícios e a operação?”
CRIE A SOLUÇÃO COM FOCO EM:
contexto → necessidade → antecipação → ação → valor → hábito.
Entregue ao final:
- uma tese central;
- uma solução principal;
- uma tabela de vantagens e desvantagens;
- 3 a 5 telas de protótipo;
- storyboard de 60–90 segundos;
- pitch de 3 minutos;
- 20 perguntas e respostas;
- análise de aderência aos seis critérios do RUPTURA.</x:v>
      </x:c>
      <x:c r="B3" s="17"/>
      <x:c r="C3" s="17"/>
      <x:c r="D3" s="17"/>
      <x:c r="E3" s="17"/>
      <x:c r="F3" s="17"/>
    </x:row>
  </x:sheetData>
  <x:mergeCells>
    <x:mergeCell ref="A1:F1"/>
    <x:mergeCell ref="A3:F3"/>
  </x:mergeCells>
  <x:pageMargins left="0.7" right="0.7" top="0.75" bottom="0.75" header="0.3" footer="0.3"/>
</x:worksheet>
</file>